
<file path=[Content_Types].xml><?xml version="1.0" encoding="utf-8"?>
<Types xmlns="http://schemas.openxmlformats.org/package/2006/content-types">
  <Default Extension="xml" ContentType="application/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Default Extension="vml" ContentType="application/vnd.openxmlformats-officedocument.vmlDrawing"/>
  <Override PartName="/xl/GemComments1.xml" ContentType="application/vnd.openxmlformats-officedocument.spreadsheetml.comments+xml"/>
  <Default Extension="rels" ContentType="application/vnd.openxmlformats-package.relationship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  <Override PartName="/xl/theme/theme1.xml" ContentType="application/vnd.openxmlformats-officedocument.theme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xmlns="http://schemas.openxmlformats.org/spreadsheetml/2006/main"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4INV 2018 Design\PROJECTS\FITSOUT Specifikacijos\"/>
    </mc:Choice>
  </mc:AlternateContent>
  <bookViews>
    <workbookView activeTab="5"/>
  </bookViews>
  <sheets>
    <sheet name="Item List" sheetId="1" r:id="rId3"/>
    <sheet name="Structure relations" sheetId="2" r:id="rId4"/>
    <sheet name="CutRite Items" sheetId="3" r:id="rId5"/>
    <sheet name="Product Structure" sheetId="4" r:id="rId6"/>
    <sheet name="Complete Part List" sheetId="5" r:id="rId7"/>
    <sheet name="Cutting Part List" sheetId="6" r:id="rId9"/>
    <sheet name="Replacament Configuration" sheetId="7" r:id="rId10"/>
  </sheets>
  <calcPr calcId="179021"/>
  <extLst xmlns="http://schemas.openxmlformats.org/spreadsheetml/2006/main"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GemComments1.xml><?xml version="1.0" encoding="utf-8"?>
<comments xmlns="http://schemas.openxmlformats.org/spreadsheetml/2006/main">
  <authors>
    <author>Saulius</author>
  </authors>
  <commentList>
    <comment ref="U3" authorId="0">
      <text>
        <r>
          <rPr>
            <rFont val="Tahoma"/>
            <charset val="186"/>
            <b/>
            <color indexed="81"/>
            <sz val="9"/>
          </rPr>
          <t>Saulius:</t>
        </r>
        <r>
          <rPr>
            <rFont val="Tahoma"/>
            <charset val="186"/>
            <color indexed="81"/>
            <sz val="9"/>
          </rPr>
          <t xml:space="preserve">
Pirmo pastatymo kampo numeris. Jeigu nera pastatymo tada kala "0" numeri</t>
        </r>
      </text>
    </comment>
    <comment ref="V3" authorId="0">
      <text>
        <r>
          <rPr>
            <rFont val="Tahoma"/>
            <charset val="186"/>
            <b/>
            <color indexed="81"/>
            <sz val="9"/>
          </rPr>
          <t>Saulius:</t>
        </r>
        <r>
          <rPr>
            <rFont val="Tahoma"/>
            <charset val="186"/>
            <color indexed="81"/>
            <sz val="9"/>
          </rPr>
          <t xml:space="preserve">
Antro pastatymo bazinio tasko numeris</t>
        </r>
      </text>
    </comment>
    <comment ref="W3" authorId="0">
      <text>
        <r>
          <rPr>
            <rFont val="Tahoma"/>
            <charset val="186"/>
            <b/>
            <color indexed="81"/>
            <sz val="9"/>
          </rPr>
          <t>Saulius:</t>
        </r>
        <r>
          <rPr>
            <rFont val="Tahoma"/>
            <charset val="186"/>
            <color indexed="81"/>
            <sz val="9"/>
          </rPr>
          <t xml:space="preserve">
Pirmo pastatymo numeris</t>
        </r>
      </text>
    </comment>
    <comment ref="X3" authorId="0">
      <text>
        <r>
          <rPr>
            <rFont val="Tahoma"/>
            <charset val="186"/>
            <b/>
            <color indexed="81"/>
            <sz val="9"/>
          </rPr>
          <t>Saulius:</t>
        </r>
        <r>
          <rPr>
            <rFont val="Tahoma"/>
            <charset val="186"/>
            <color indexed="81"/>
            <sz val="9"/>
          </rPr>
          <t xml:space="preserve">
Pirmo pastatymo numeris</t>
        </r>
      </text>
    </comment>
  </commentList>
</comments>
</file>

<file path=xl/sharedStrings.xml><?xml version="1.0" encoding="utf-8"?>
<sst xmlns="http://schemas.openxmlformats.org/spreadsheetml/2006/main" count="153" uniqueCount="153">
  <si>
    <t>Item Code</t>
  </si>
  <si>
    <t>Item Name</t>
  </si>
  <si>
    <t>Category Name</t>
  </si>
  <si>
    <t>BOM Type</t>
  </si>
  <si>
    <t>SLBX</t>
  </si>
  <si>
    <t>Slant Box</t>
  </si>
  <si>
    <t>Assembly</t>
  </si>
  <si>
    <t>Normal</t>
  </si>
  <si>
    <t>SLBX5</t>
  </si>
  <si>
    <t>Right Side</t>
  </si>
  <si>
    <t>Part</t>
  </si>
  <si>
    <t>SLBX5 MWP 1</t>
  </si>
  <si>
    <t>MWP of Right Side</t>
  </si>
  <si>
    <t>Multilayer Workpiece</t>
  </si>
  <si>
    <t>2 MDF &amp; DIF VNR</t>
  </si>
  <si>
    <t>2 MDF and Different Veneers</t>
  </si>
  <si>
    <t>Multilayer Board</t>
  </si>
  <si>
    <t>SLBX5 MWP 1 MWP 1</t>
  </si>
  <si>
    <t>MWP of MWP of Right Side</t>
  </si>
  <si>
    <t>Cover Workpiece</t>
  </si>
  <si>
    <t>Veneer</t>
  </si>
  <si>
    <t>SLBX5 MWP 1 MWP 2</t>
  </si>
  <si>
    <t>Fill Workpiece</t>
  </si>
  <si>
    <t>MDF</t>
  </si>
  <si>
    <t>Medium Density Fiberboard</t>
  </si>
  <si>
    <t>Board</t>
  </si>
  <si>
    <t>SLBX5 MWP 1 MWP 3</t>
  </si>
  <si>
    <t>SLBX5 MWP 1 MWP 4</t>
  </si>
  <si>
    <t>SLBX5 WP 2</t>
  </si>
  <si>
    <t>WP of Right Side</t>
  </si>
  <si>
    <t>SLBX5 WP 3</t>
  </si>
  <si>
    <t>SLBX6</t>
  </si>
  <si>
    <t>Top</t>
  </si>
  <si>
    <t>SLBX6 MWP 1</t>
  </si>
  <si>
    <t>MWP of Top</t>
  </si>
  <si>
    <t>SLBX6 MWP 1 MWP 1</t>
  </si>
  <si>
    <t>MWP of MWP of Top</t>
  </si>
  <si>
    <t>SLBX6 MWP 1 MWP 2</t>
  </si>
  <si>
    <t>SLBX6 MWP 1 MWP 3</t>
  </si>
  <si>
    <t>SLBX6 MWP 1 MWP 4</t>
  </si>
  <si>
    <t>SLBX6 WP 2</t>
  </si>
  <si>
    <t>WP of Top</t>
  </si>
  <si>
    <t>SLBX6 WP 3</t>
  </si>
  <si>
    <t>SLBX2</t>
  </si>
  <si>
    <t>Bottom</t>
  </si>
  <si>
    <t>SLBX2 MWP 1</t>
  </si>
  <si>
    <t>MWP of Bottom</t>
  </si>
  <si>
    <t>SLBX2 MWP 1 MWP 1</t>
  </si>
  <si>
    <t>MWP of MWP of Bottom</t>
  </si>
  <si>
    <t>SLBX2 MWP 1 MWP 2</t>
  </si>
  <si>
    <t>SLBX2 MWP 1 MWP 3</t>
  </si>
  <si>
    <t>SLBX2 MWP 1 MWP 4</t>
  </si>
  <si>
    <t>SLBX2 WP 2</t>
  </si>
  <si>
    <t>WP of Bottom</t>
  </si>
  <si>
    <t>SLBX2 WP 3</t>
  </si>
  <si>
    <t>SLBX3</t>
  </si>
  <si>
    <t>Left Side</t>
  </si>
  <si>
    <t>SLBX3 MWP 1</t>
  </si>
  <si>
    <t>MWP of Left Side</t>
  </si>
  <si>
    <t>SLBX3 MWP 1 MWP 1</t>
  </si>
  <si>
    <t>MWP of MWP of Left Side</t>
  </si>
  <si>
    <t>SLBX3 MWP 1 MWP 2</t>
  </si>
  <si>
    <t>SLBX3 MWP 1 MWP 3</t>
  </si>
  <si>
    <t>SLBX3 MWP 1 MWP 4</t>
  </si>
  <si>
    <t>SLBX3 WP 2</t>
  </si>
  <si>
    <t>WP of Left Side</t>
  </si>
  <si>
    <t>SLBX3 WP 3</t>
  </si>
  <si>
    <t>SLBX4</t>
  </si>
  <si>
    <t>Partition</t>
  </si>
  <si>
    <t>SLBX4 WP 1</t>
  </si>
  <si>
    <t>WP of Partition</t>
  </si>
  <si>
    <t>GLW</t>
  </si>
  <si>
    <t>Glued Workpiece</t>
  </si>
  <si>
    <t>SLBX4 WP 2</t>
  </si>
  <si>
    <t>SLBX4 WP 3</t>
  </si>
  <si>
    <t>SLBX4 WP 4</t>
  </si>
  <si>
    <t>SLBX4 WP 5</t>
  </si>
  <si>
    <t>D15 T18</t>
  </si>
  <si>
    <t>Minifix Cam</t>
  </si>
  <si>
    <t>Purchased</t>
  </si>
  <si>
    <t>D8 L44</t>
  </si>
  <si>
    <t>Double Sided Mitre Bolt</t>
  </si>
  <si>
    <t>D15</t>
  </si>
  <si>
    <t>Cap</t>
  </si>
  <si>
    <t>One Side Mitre Bolt</t>
  </si>
  <si>
    <t>Parent</t>
  </si>
  <si>
    <t>ItemNumber</t>
  </si>
  <si>
    <t>Quantity</t>
  </si>
  <si>
    <t>Units</t>
  </si>
  <si>
    <t>unt</t>
  </si>
  <si>
    <t>m²</t>
  </si>
  <si>
    <t>Part Data</t>
  </si>
  <si>
    <t>Edge Band Material definition</t>
  </si>
  <si>
    <t>Edge Band Thickness</t>
  </si>
  <si>
    <t>CNC</t>
  </si>
  <si>
    <t>Informacija kuri perdirbama ankstesniuose stulpeliuose</t>
  </si>
  <si>
    <t>Part Code</t>
  </si>
  <si>
    <t>Material</t>
  </si>
  <si>
    <t>Length</t>
  </si>
  <si>
    <t>Width</t>
  </si>
  <si>
    <t>Size</t>
  </si>
  <si>
    <t>Order Nr 26</t>
  </si>
  <si>
    <t>Part Name</t>
  </si>
  <si>
    <t>Thickness</t>
  </si>
  <si>
    <t>Color Code</t>
  </si>
  <si>
    <t>Color Name</t>
  </si>
  <si>
    <t>1-Front</t>
  </si>
  <si>
    <t>3-Back</t>
  </si>
  <si>
    <t>4-Left</t>
  </si>
  <si>
    <t>2-Right</t>
  </si>
  <si>
    <t>Has grain</t>
  </si>
  <si>
    <t>First Clamping Base point for CNC processing</t>
  </si>
  <si>
    <t>Second Clamping Base point for CNC processing</t>
  </si>
  <si>
    <t>First CNC Program Name</t>
  </si>
  <si>
    <t>Second CNC Program Name</t>
  </si>
  <si>
    <t>CNC Programs Ammount</t>
  </si>
  <si>
    <t>Inverse Axis</t>
  </si>
  <si>
    <t>Veneer Veneer</t>
  </si>
  <si>
    <t>Product Structure</t>
  </si>
  <si>
    <t>Manufacturing Order Code:</t>
  </si>
  <si>
    <t>Manufacturing Order Name:</t>
  </si>
  <si>
    <t>Client:</t>
  </si>
  <si>
    <t>Designer:</t>
  </si>
  <si>
    <t>Constructor:</t>
  </si>
  <si>
    <t>Data:</t>
  </si>
  <si>
    <t>Color</t>
  </si>
  <si>
    <t>Code</t>
  </si>
  <si>
    <t>Name</t>
  </si>
  <si>
    <t>4</t>
  </si>
  <si>
    <t>1</t>
  </si>
  <si>
    <t>2</t>
  </si>
  <si>
    <t>3</t>
  </si>
  <si>
    <t>5</t>
  </si>
  <si>
    <t>Complete Parts List</t>
  </si>
  <si>
    <t>Boards</t>
  </si>
  <si>
    <t>Material Code</t>
  </si>
  <si>
    <t>Material Name</t>
  </si>
  <si>
    <t>Multilayer Boards</t>
  </si>
  <si>
    <t>Cutting Parts List</t>
  </si>
  <si>
    <t>Parts from Board</t>
  </si>
  <si>
    <t>Material code</t>
  </si>
  <si>
    <t>Material name</t>
  </si>
  <si>
    <t>Has Grain</t>
  </si>
  <si>
    <t>Left Cover</t>
  </si>
  <si>
    <t>Right Cover</t>
  </si>
  <si>
    <t>Front Cover</t>
  </si>
  <si>
    <t>Back Cover</t>
  </si>
  <si>
    <t>VB 02</t>
  </si>
  <si>
    <t>Parts from Multilayer Board</t>
  </si>
  <si>
    <t>Veneer Sheets</t>
  </si>
  <si>
    <t>Coloring Code</t>
  </si>
  <si>
    <t>Coloring Name</t>
  </si>
  <si>
    <t>VF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</si>
</sst>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name val="Calibri"/>
      <color theme="1"/>
      <sz val="11"/>
      <scheme val="minor"/>
    </font>
    <font>
      <name val="Calibri"/>
      <charset val="186"/>
      <sz val="14"/>
      <scheme val="minor"/>
    </font>
    <font>
      <name val="Calibri"/>
      <charset val="186"/>
      <color theme="1"/>
      <sz val="14"/>
      <scheme val="minor"/>
    </font>
    <font>
      <name val="Calibri"/>
      <charset val="186"/>
      <b/>
      <color theme="1"/>
      <sz val="11"/>
      <scheme val="minor"/>
    </font>
    <font>
      <name val="Calibri"/>
      <b/>
      <color theme="1"/>
      <sz val="11"/>
      <scheme val="minor"/>
    </font>
    <font>
      <name val="Calibri"/>
      <b/>
      <color indexed="8"/>
      <sz val="9"/>
    </font>
    <font>
      <name val="Calibri"/>
      <charset val="204"/>
      <color indexed="8"/>
      <sz val="9"/>
    </font>
    <font>
      <name val="Calibri"/>
      <charset val="186"/>
      <sz val="11"/>
      <scheme val="minor"/>
    </font>
    <font>
      <name val="Calibri"/>
      <charset val="186"/>
      <b/>
      <color theme="1"/>
      <sz val="16"/>
      <scheme val="minor"/>
    </font>
    <font>
      <name val="Calibri"/>
      <charset val="186"/>
      <b/>
      <i/>
      <color theme="1"/>
      <sz val="11"/>
      <scheme val="minor"/>
    </font>
    <font>
      <name val="Calibri"/>
      <charset val="186"/>
      <b/>
      <sz val="14"/>
      <scheme val="minor"/>
    </font>
    <font>
      <name val="Calibri"/>
      <charset val="186"/>
      <b/>
      <color theme="1"/>
      <sz val="14"/>
      <scheme val="minor"/>
    </font>
    <font>
      <name val="Calibri"/>
      <charset val="186"/>
      <sz val="12"/>
      <scheme val="minor"/>
    </font>
    <font>
      <name val="Calibri"/>
      <i/>
      <color theme="1"/>
      <sz val="9"/>
      <scheme val="minor"/>
    </font>
    <font>
      <name val="Calibri"/>
      <b/>
      <color theme="1"/>
      <sz val="12"/>
      <scheme val="minor"/>
    </font>
    <font>
      <name val="Calibri"/>
      <charset val="186"/>
      <b/>
      <i/>
      <sz val="11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9" tint="0.59999389629810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</border>
    <border>
      <left style="thin">
        <color indexed="64"/>
      </left>
      <top style="medium">
        <color indexed="64"/>
      </top>
      <bottom style="thin">
        <color indexed="64"/>
      </bottom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</border>
    <border>
      <top style="medium">
        <color indexed="64"/>
      </top>
      <bottom style="medium">
        <color indexed="64"/>
      </bottom>
    </border>
    <border>
      <left style="medium">
        <color indexed="64"/>
      </left>
      <top style="medium">
        <color indexed="64"/>
      </top>
      <bottom style="medium">
        <color indexed="64"/>
      </bottom>
    </border>
    <border>
      <right style="medium">
        <color indexed="64"/>
      </right>
      <top style="medium">
        <color indexed="64"/>
      </top>
      <bottom style="medium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</border>
    <border>
      <left style="thin">
        <color indexed="64"/>
      </left>
      <top style="thin">
        <color indexed="64"/>
      </top>
      <bottom style="medium">
        <color indexed="64"/>
      </bottom>
    </border>
    <border>
      <left style="medium">
        <color indexed="64"/>
      </left>
      <right style="thin">
        <color indexed="64"/>
      </right>
      <bottom style="medium">
        <color indexed="64"/>
      </bottom>
    </border>
    <border>
      <left style="thin">
        <color indexed="64"/>
      </left>
      <right style="thin">
        <color indexed="64"/>
      </right>
      <bottom style="medium">
        <color indexed="64"/>
      </bottom>
    </border>
    <border>
      <right style="thin">
        <color indexed="64"/>
      </right>
      <bottom style="medium">
        <color indexed="64"/>
      </bottom>
    </border>
    <border>
      <left style="thin">
        <color indexed="64"/>
      </left>
      <top style="medium">
        <color indexed="64"/>
      </top>
      <bottom style="medium">
        <color indexed="64"/>
      </bottom>
    </border>
    <border>
      <right style="thin">
        <color indexed="64"/>
      </right>
      <top style="medium">
        <color indexed="64"/>
      </top>
      <bottom style="medium">
        <color indexed="64"/>
      </bottom>
    </border>
    <border>
      <left style="thin">
        <color indexed="64"/>
      </left>
      <right/>
      <top style="medium">
        <color indexed="64"/>
      </top>
      <bottom style="medium">
        <color indexed="64"/>
      </bottom>
    </border>
    <border>
      <left/>
      <right/>
      <top style="medium">
        <color indexed="64"/>
      </top>
      <bottom style="medium">
        <color indexed="64"/>
      </bottom>
    </border>
    <border>
      <left/>
      <right style="thin">
        <color indexed="64"/>
      </right>
      <top style="medium">
        <color indexed="64"/>
      </top>
      <bottom style="medium">
        <color indexed="64"/>
      </bottom>
    </border>
    <border>
      <left style="thin">
        <color indexed="64"/>
      </left>
      <right style="medium">
        <color indexed="64"/>
      </right>
      <bottom style="medium">
        <color indexed="64"/>
      </bottom>
    </border>
    <border>
      <top/>
      <bottom style="medium">
        <color indexed="64"/>
      </bottom>
    </border>
    <border>
      <left/>
      <right/>
      <top/>
      <bottom style="medium">
        <color indexed="64"/>
      </bottom>
    </border>
    <border>
      <left style="medium">
        <color indexed="64"/>
      </left>
      <right style="thin">
        <color indexed="64"/>
      </right>
      <bottom style="thin">
        <color indexed="64"/>
      </bottom>
    </border>
    <border>
      <left style="thin">
        <color indexed="64"/>
      </left>
      <right style="thin">
        <color indexed="64"/>
      </right>
      <bottom style="thin">
        <color indexed="64"/>
      </bottom>
    </border>
    <border>
      <left style="thin">
        <color indexed="64"/>
      </left>
      <right/>
      <top style="medium">
        <color indexed="64"/>
      </top>
      <bottom style="thin">
        <color indexed="64"/>
      </bottom>
    </border>
    <border>
      <left/>
      <right/>
      <top style="medium">
        <color indexed="64"/>
      </top>
      <bottom style="thin">
        <color indexed="64"/>
      </bottom>
    </border>
    <border>
      <left/>
      <right style="thin">
        <color indexed="64"/>
      </right>
      <top style="medium">
        <color indexed="64"/>
      </top>
      <bottom style="thin">
        <color indexed="64"/>
      </bottom>
    </border>
    <border>
      <left style="thin">
        <color indexed="64"/>
      </left>
      <right style="medium">
        <color indexed="64"/>
      </right>
      <bottom style="thin">
        <color indexed="64"/>
      </bottom>
    </border>
    <border>
      <bottom style="medium">
        <color indexed="64"/>
      </bottom>
    </border>
    <border>
      <right style="medium">
        <color indexed="64"/>
      </right>
      <bottom style="thin">
        <color indexed="64"/>
      </bottom>
    </border>
    <border>
      <right style="medium">
        <color indexed="64"/>
      </right>
      <bottom style="medium">
        <color indexed="64"/>
      </bottom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true">
      <alignment horizontal="left"/>
    </xf>
    <xf numFmtId="0" fontId="0" fillId="2" borderId="1" xfId="0" applyNumberFormat="true" applyFont="true" applyFill="true" applyBorder="true" applyAlignment="true">
      <alignment horizontal="left" vertical="center"/>
    </xf>
    <xf numFmtId="0" fontId="0" fillId="2" borderId="1" xfId="0" applyNumberFormat="true" applyFont="true" applyFill="true" applyBorder="true" applyAlignment="true">
      <alignment horizontal="center" vertical="center"/>
    </xf>
    <xf numFmtId="0" fontId="0" fillId="2" borderId="1" xfId="0" applyNumberFormat="true" applyFont="true" applyFill="true" applyBorder="true" applyAlignment="true">
      <alignment horizontal="right" vertical="center"/>
    </xf>
    <xf numFmtId="0" fontId="1" fillId="0" borderId="1" xfId="0" applyNumberFormat="true" applyFont="true" applyFill="true" applyBorder="true" applyAlignment="true">
      <alignment horizontal="left" vertical="center"/>
    </xf>
    <xf numFmtId="0" fontId="1" fillId="0" borderId="1" xfId="0" applyNumberFormat="true" applyFont="true" applyFill="true" applyBorder="true" applyAlignment="true">
      <alignment vertical="center"/>
    </xf>
    <xf numFmtId="0" fontId="2" fillId="0" borderId="1" xfId="0" applyNumberFormat="true" applyFont="true" applyFill="true" applyBorder="true" applyAlignment="true">
      <alignment horizontal="right" vertical="center"/>
    </xf>
    <xf numFmtId="0" fontId="1" fillId="0" borderId="0" xfId="0" applyNumberFormat="true" applyFont="true" applyFill="true" applyBorder="true" applyAlignment="true">
      <alignment horizontal="left" vertical="center"/>
    </xf>
    <xf numFmtId="49" fontId="0" fillId="2" borderId="1" xfId="0" applyNumberFormat="true" applyFont="true" applyFill="true" applyBorder="true" applyAlignment="true">
      <alignment horizontal="center" vertical="center"/>
    </xf>
    <xf numFmtId="49" fontId="1" fillId="0" borderId="0" xfId="0" applyNumberFormat="true" applyFont="true" applyFill="true" applyBorder="true" applyAlignment="true">
      <alignment horizontal="center" vertical="center"/>
    </xf>
    <xf numFmtId="0" fontId="0" fillId="0" borderId="0" xfId="0" applyNumberFormat="true" applyAlignment="true">
      <alignment vertical="center"/>
    </xf>
    <xf numFmtId="0" fontId="0" fillId="0" borderId="0" xfId="0" applyBorder="true"/>
    <xf numFmtId="0" fontId="0" fillId="2" borderId="2" xfId="0" applyFill="true" applyBorder="true" applyAlignment="true"/>
    <xf numFmtId="0" fontId="3" fillId="2" borderId="2" xfId="0" applyFont="true" applyFill="true" applyBorder="true" applyAlignment="true"/>
    <xf numFmtId="0" fontId="4" fillId="2" borderId="2" xfId="0" applyFont="true" applyFill="true" applyBorder="true" applyAlignment="true"/>
    <xf numFmtId="0" fontId="3" fillId="3" borderId="2" xfId="0" applyFont="true" applyFill="true" applyBorder="true" applyAlignment="true"/>
    <xf numFmtId="0" fontId="0" fillId="4" borderId="2" xfId="0" applyFill="true" applyBorder="true" applyAlignment="true"/>
    <xf numFmtId="0" fontId="0" fillId="0" borderId="3" xfId="0" applyBorder="true" applyAlignment="true"/>
    <xf numFmtId="0" fontId="5" fillId="5" borderId="4" xfId="0" applyFont="true" applyFill="true" applyBorder="true"/>
    <xf numFmtId="0" fontId="6" fillId="5" borderId="5" xfId="0" applyFont="true" applyFill="true" applyBorder="true"/>
    <xf numFmtId="0" fontId="0" fillId="5" borderId="5" xfId="0" applyNumberFormat="true" applyFill="true" applyBorder="true" applyAlignment="true">
      <alignment vertical="center"/>
    </xf>
    <xf numFmtId="0" fontId="0" fillId="5" borderId="6" xfId="0" applyNumberFormat="true" applyFill="true" applyBorder="true" applyAlignment="true">
      <alignment vertical="center"/>
    </xf>
    <xf numFmtId="0" fontId="0" fillId="5" borderId="7" xfId="0" applyNumberFormat="true" applyFill="true" applyBorder="true" applyAlignment="true">
      <alignment vertical="center"/>
    </xf>
    <xf numFmtId="0" fontId="0" fillId="6" borderId="8" xfId="0" applyNumberFormat="true" applyFill="true" applyBorder="true" applyAlignment="true">
      <alignment vertical="center"/>
    </xf>
    <xf numFmtId="0" fontId="0" fillId="6" borderId="7" xfId="0" applyNumberFormat="true" applyFill="true" applyBorder="true" applyAlignment="true">
      <alignment vertical="center"/>
    </xf>
    <xf numFmtId="0" fontId="0" fillId="6" borderId="9" xfId="0" applyNumberFormat="true" applyFill="true" applyBorder="true" applyAlignment="true">
      <alignment vertical="center"/>
    </xf>
    <xf numFmtId="0" fontId="3" fillId="7" borderId="10" xfId="0" applyFont="true" applyFill="true" applyBorder="true"/>
    <xf numFmtId="0" fontId="3" fillId="8" borderId="10" xfId="0" applyFont="true" applyFill="true" applyBorder="true"/>
    <xf numFmtId="0" fontId="3" fillId="7" borderId="11" xfId="0" applyFont="true" applyFill="true" applyBorder="true"/>
    <xf numFmtId="0" fontId="3" fillId="7" borderId="12" xfId="0" applyFont="true" applyFill="true" applyBorder="true"/>
    <xf numFmtId="0" fontId="3" fillId="7" borderId="13" xfId="0" applyFont="true" applyFill="true" applyBorder="true"/>
    <xf numFmtId="0" fontId="3" fillId="7" borderId="14" xfId="0" applyFont="true" applyFill="true" applyBorder="true"/>
    <xf numFmtId="0" fontId="3" fillId="8" borderId="13" xfId="0" applyFont="true" applyFill="true" applyBorder="true"/>
    <xf numFmtId="0" fontId="3" fillId="8" borderId="14" xfId="0" applyFont="true" applyFill="true" applyBorder="true"/>
    <xf numFmtId="0" fontId="0" fillId="0" borderId="0" xfId="0" applyNumberFormat="true" applyFont="true" applyBorder="true" applyAlignment="true">
      <alignment vertical="center"/>
    </xf>
    <xf numFmtId="0" fontId="7" fillId="0" borderId="0" xfId="0" applyNumberFormat="true" applyFont="true" applyBorder="true" applyAlignment="true">
      <alignment vertical="center"/>
    </xf>
    <xf numFmtId="0" fontId="0" fillId="0" borderId="0" xfId="0" applyNumberFormat="true" applyBorder="true" applyAlignment="true">
      <alignment horizontal="left" vertical="center"/>
    </xf>
    <xf numFmtId="0" fontId="0" fillId="0" borderId="0" xfId="0" applyNumberFormat="true" applyBorder="true" applyAlignment="true">
      <alignment vertical="center"/>
    </xf>
    <xf numFmtId="0" fontId="8" fillId="0" borderId="0" xfId="0" applyNumberFormat="true" applyFont="true" applyAlignment="true">
      <alignment horizontal="center" vertical="center"/>
    </xf>
    <xf numFmtId="0" fontId="0" fillId="0" borderId="0" xfId="0" applyNumberFormat="true" applyAlignment="true">
      <alignment horizontal="right" vertical="center"/>
    </xf>
    <xf numFmtId="0" fontId="3" fillId="0" borderId="0" xfId="0" applyNumberFormat="true" applyFont="true" applyAlignment="true">
      <alignment horizontal="left" vertical="center"/>
    </xf>
    <xf numFmtId="0" fontId="0" fillId="0" borderId="0" xfId="0" applyNumberFormat="true" applyAlignment="true">
      <alignment horizontal="left" vertical="center"/>
    </xf>
    <xf numFmtId="22" fontId="0" fillId="0" borderId="0" xfId="0" applyNumberFormat="true" applyAlignment="true">
      <alignment horizontal="left" vertical="center"/>
    </xf>
    <xf numFmtId="22" fontId="0" fillId="0" borderId="0" xfId="0" applyNumberFormat="true" applyAlignment="true">
      <alignment vertical="center"/>
    </xf>
    <xf numFmtId="0" fontId="0" fillId="0" borderId="0" xfId="0" applyNumberFormat="true" applyAlignment="true">
      <alignment horizontal="center" vertical="center"/>
    </xf>
    <xf numFmtId="0" fontId="3" fillId="2" borderId="1" xfId="0" applyNumberFormat="true" applyFont="true" applyFill="true" applyBorder="true" applyAlignment="true">
      <alignment horizontal="center" vertical="center"/>
    </xf>
    <xf numFmtId="0" fontId="9" fillId="2" borderId="1" xfId="0" applyNumberFormat="true" applyFont="true" applyFill="true" applyBorder="true" applyAlignment="true">
      <alignment horizontal="center" vertical="center"/>
    </xf>
    <xf numFmtId="0" fontId="0" fillId="0" borderId="0" xfId="0" applyNumberFormat="true" applyFill="true" applyAlignment="true">
      <alignment vertical="center"/>
    </xf>
    <xf numFmtId="0" fontId="10" fillId="0" borderId="1" xfId="0" applyNumberFormat="true" applyFont="true" applyFill="true" applyBorder="true" applyAlignment="true">
      <alignment vertical="center"/>
    </xf>
    <xf numFmtId="0" fontId="11" fillId="0" borderId="1" xfId="0" applyNumberFormat="true" applyFont="true" applyFill="true" applyBorder="true" applyAlignment="true">
      <alignment horizontal="right" vertical="center"/>
    </xf>
    <xf numFmtId="0" fontId="11" fillId="0" borderId="1" xfId="0" applyNumberFormat="true" applyFont="true" applyFill="true" applyBorder="true" applyAlignment="true">
      <alignment vertical="center"/>
    </xf>
    <xf numFmtId="0" fontId="12" fillId="7" borderId="1" xfId="0" applyNumberFormat="true" applyFont="true" applyFill="true" applyBorder="true" applyAlignment="true">
      <alignment vertical="center" indent="1"/>
    </xf>
    <xf numFmtId="0" fontId="12" fillId="7" borderId="1" xfId="0" applyNumberFormat="true" applyFont="true" applyFill="true" applyBorder="true" applyAlignment="true">
      <alignment vertical="center"/>
    </xf>
    <xf numFmtId="0" fontId="0" fillId="7" borderId="1" xfId="0" applyNumberFormat="true" applyFont="true" applyFill="true" applyBorder="true" applyAlignment="true">
      <alignment horizontal="right" vertical="center"/>
    </xf>
    <xf numFmtId="0" fontId="0" fillId="7" borderId="1" xfId="0" applyNumberFormat="true" applyFont="true" applyFill="true" applyBorder="true" applyAlignment="true">
      <alignment vertical="center"/>
    </xf>
    <xf numFmtId="0" fontId="13" fillId="0" borderId="0" xfId="0" applyNumberFormat="true" applyFont="true" applyAlignment="true">
      <alignment horizontal="left" vertical="center"/>
    </xf>
    <xf numFmtId="0" fontId="13" fillId="0" borderId="0" xfId="0" applyNumberFormat="true" applyFont="true" applyFill="true" applyAlignment="true">
      <alignment horizontal="left" vertical="center"/>
    </xf>
    <xf numFmtId="0" fontId="14" fillId="0" borderId="0" xfId="0" applyNumberFormat="true" applyFont="true" applyAlignment="true">
      <alignment horizontal="center" vertical="center"/>
    </xf>
    <xf numFmtId="0" fontId="11" fillId="0" borderId="0" xfId="0" applyNumberFormat="true" applyFont="true" applyBorder="true" applyAlignment="true">
      <alignment vertical="center"/>
    </xf>
    <xf numFmtId="0" fontId="4" fillId="0" borderId="0" xfId="0" applyNumberFormat="true" applyFont="true" applyAlignment="true">
      <alignment horizontal="center" vertical="center"/>
    </xf>
    <xf numFmtId="0" fontId="4" fillId="7" borderId="4" xfId="0" applyNumberFormat="true" applyFont="true" applyFill="true" applyBorder="true" applyAlignment="true">
      <alignment horizontal="center" vertical="center"/>
    </xf>
    <xf numFmtId="0" fontId="4" fillId="7" borderId="5" xfId="0" applyNumberFormat="true" applyFont="true" applyFill="true" applyBorder="true" applyAlignment="true">
      <alignment horizontal="center" vertical="center"/>
    </xf>
    <xf numFmtId="0" fontId="4" fillId="7" borderId="15" xfId="0" applyNumberFormat="true" applyFont="true" applyFill="true" applyBorder="true" applyAlignment="true">
      <alignment horizontal="center" vertical="center"/>
    </xf>
    <xf numFmtId="0" fontId="4" fillId="7" borderId="7" xfId="0" applyNumberFormat="true" applyFont="true" applyFill="true" applyBorder="true" applyAlignment="true">
      <alignment horizontal="center" vertical="center"/>
    </xf>
    <xf numFmtId="0" fontId="4" fillId="7" borderId="16" xfId="0" applyNumberFormat="true" applyFont="true" applyFill="true" applyBorder="true" applyAlignment="true">
      <alignment horizontal="center" vertical="center"/>
    </xf>
    <xf numFmtId="0" fontId="4" fillId="7" borderId="6" xfId="0" applyNumberFormat="true" applyFont="true" applyFill="true" applyBorder="true" applyAlignment="true">
      <alignment horizontal="center" vertical="center"/>
    </xf>
    <xf numFmtId="0" fontId="0" fillId="0" borderId="12" xfId="0" applyNumberFormat="true" applyBorder="true" applyAlignment="true">
      <alignment vertical="center"/>
    </xf>
    <xf numFmtId="0" fontId="0" fillId="0" borderId="13" xfId="0" applyNumberFormat="true" applyBorder="true" applyAlignment="true">
      <alignment vertical="center"/>
    </xf>
    <xf numFmtId="0" fontId="0" fillId="0" borderId="17" xfId="0" applyNumberFormat="true" applyBorder="true" applyAlignment="true">
      <alignment vertical="center"/>
    </xf>
    <xf numFmtId="0" fontId="0" fillId="0" borderId="18" xfId="0" applyNumberFormat="true" applyBorder="true" applyAlignment="true">
      <alignment vertical="center"/>
    </xf>
    <xf numFmtId="0" fontId="0" fillId="0" borderId="19" xfId="0" applyNumberFormat="true" applyBorder="true" applyAlignment="true">
      <alignment vertical="center"/>
    </xf>
    <xf numFmtId="0" fontId="7" fillId="0" borderId="13" xfId="0" applyNumberFormat="true" applyFont="true" applyBorder="true" applyAlignment="true">
      <alignment vertical="center"/>
    </xf>
    <xf numFmtId="0" fontId="0" fillId="0" borderId="20" xfId="0" applyNumberFormat="true" applyBorder="true" applyAlignment="true">
      <alignment vertical="center"/>
    </xf>
    <xf numFmtId="0" fontId="0" fillId="0" borderId="21" xfId="0" applyNumberFormat="true" applyBorder="true" applyAlignment="true">
      <alignment vertical="center"/>
    </xf>
    <xf numFmtId="0" fontId="0" fillId="0" borderId="22" xfId="0" applyNumberFormat="true" applyBorder="true" applyAlignment="true">
      <alignment vertical="center"/>
    </xf>
    <xf numFmtId="0" fontId="15" fillId="0" borderId="21" xfId="0" applyNumberFormat="true" applyFont="true" applyBorder="true" applyAlignment="true">
      <alignment vertical="center"/>
    </xf>
    <xf numFmtId="0" fontId="0" fillId="0" borderId="23" xfId="0" applyNumberFormat="true" applyBorder="true" applyAlignment="true">
      <alignment vertical="center"/>
    </xf>
    <xf numFmtId="0" fontId="0" fillId="0" borderId="24" xfId="0" applyNumberFormat="true" applyBorder="true" applyAlignment="true">
      <alignment vertical="center"/>
    </xf>
    <xf numFmtId="0" fontId="0" fillId="0" borderId="25" xfId="0" applyNumberFormat="true" applyBorder="true" applyAlignment="true">
      <alignment vertical="center"/>
    </xf>
    <xf numFmtId="0" fontId="0" fillId="0" borderId="26" xfId="0" applyNumberFormat="true" applyBorder="true" applyAlignment="true">
      <alignment vertical="center"/>
    </xf>
    <xf numFmtId="0" fontId="0" fillId="0" borderId="27" xfId="0" applyNumberFormat="true" applyBorder="true" applyAlignment="true">
      <alignment vertical="center"/>
    </xf>
    <xf numFmtId="0" fontId="7" fillId="0" borderId="24" xfId="0" applyNumberFormat="true" applyFont="true" applyBorder="true" applyAlignment="true">
      <alignment vertical="center"/>
    </xf>
    <xf numFmtId="0" fontId="0" fillId="0" borderId="28" xfId="0" applyNumberFormat="true" applyBorder="true" applyAlignment="true">
      <alignment vertical="center"/>
    </xf>
    <xf numFmtId="0" fontId="0" fillId="0" borderId="29" xfId="0" applyNumberFormat="true" applyBorder="true" applyAlignment="true">
      <alignment vertical="center"/>
    </xf>
    <xf numFmtId="0" fontId="15" fillId="0" borderId="29" xfId="0" applyNumberFormat="true" applyFont="true" applyBorder="true" applyAlignment="true">
      <alignment vertical="center"/>
    </xf>
    <xf numFmtId="0" fontId="4" fillId="0" borderId="0" xfId="0" applyNumberFormat="true" applyFont="true" applyFill="true" applyBorder="true" applyAlignment="true">
      <alignment horizontal="center" vertical="center"/>
    </xf>
    <xf numFmtId="0" fontId="7" fillId="0" borderId="28" xfId="0" applyNumberFormat="true" applyFont="true" applyBorder="true" applyAlignment="true">
      <alignment vertical="center"/>
    </xf>
    <xf numFmtId="0" fontId="0" fillId="0" borderId="0" xfId="0" applyNumberFormat="true" applyFill="true" applyBorder="true" applyAlignment="true">
      <alignment vertical="center"/>
    </xf>
    <xf numFmtId="0" fontId="7" fillId="0" borderId="20" xfId="0" applyNumberFormat="true" applyFont="true" applyBorder="true" applyAlignment="true">
      <alignment vertical="center"/>
    </xf>
    <xf numFmtId="0" fontId="8" fillId="0" borderId="0" xfId="0" applyNumberFormat="true" applyFont="true" applyAlignment="true">
      <alignment horizontal="left" vertical="center"/>
    </xf>
    <xf numFmtId="0" fontId="0" fillId="0" borderId="0" xfId="0" applyAlignment="true">
      <alignment vertical="center"/>
    </xf>
    <xf numFmtId="0" fontId="0" fillId="0" borderId="12" xfId="0" applyNumberFormat="true" applyFont="true" applyBorder="true" applyAlignment="true">
      <alignment vertical="center"/>
    </xf>
    <xf numFmtId="0" fontId="0" fillId="0" borderId="13" xfId="0" applyNumberFormat="true" applyFont="true" applyBorder="true" applyAlignment="true">
      <alignment vertical="center"/>
    </xf>
    <xf numFmtId="0" fontId="0" fillId="0" borderId="17" xfId="0" applyNumberFormat="true" applyFont="true" applyBorder="true" applyAlignment="true">
      <alignment vertical="center"/>
    </xf>
    <xf numFmtId="0" fontId="0" fillId="0" borderId="18" xfId="0" applyNumberFormat="true" applyFont="true" applyBorder="true" applyAlignment="true">
      <alignment vertical="center"/>
    </xf>
    <xf numFmtId="0" fontId="0" fillId="0" borderId="19" xfId="0" applyNumberFormat="true" applyFont="true" applyBorder="true" applyAlignment="true">
      <alignment vertical="center"/>
    </xf>
    <xf numFmtId="0" fontId="0" fillId="0" borderId="20" xfId="0" applyNumberFormat="true" applyFont="true" applyBorder="true" applyAlignment="true">
      <alignment vertical="center"/>
    </xf>
    <xf numFmtId="0" fontId="0" fillId="0" borderId="23" xfId="0" applyNumberFormat="true" applyFont="true" applyBorder="true" applyAlignment="true">
      <alignment vertical="center"/>
    </xf>
    <xf numFmtId="0" fontId="0" fillId="0" borderId="24" xfId="0" applyNumberFormat="true" applyFont="true" applyBorder="true" applyAlignment="true">
      <alignment vertical="center"/>
    </xf>
    <xf numFmtId="0" fontId="0" fillId="0" borderId="25" xfId="0" applyNumberFormat="true" applyFont="true" applyBorder="true" applyAlignment="true">
      <alignment vertical="center"/>
    </xf>
    <xf numFmtId="0" fontId="0" fillId="0" borderId="26" xfId="0" applyNumberFormat="true" applyFont="true" applyBorder="true" applyAlignment="true">
      <alignment vertical="center"/>
    </xf>
    <xf numFmtId="0" fontId="0" fillId="0" borderId="27" xfId="0" applyNumberFormat="true" applyFont="true" applyBorder="true" applyAlignment="true">
      <alignment vertical="center"/>
    </xf>
    <xf numFmtId="0" fontId="0" fillId="0" borderId="28" xfId="0" applyNumberFormat="true" applyFont="true" applyBorder="true" applyAlignment="true">
      <alignment vertical="center"/>
    </xf>
    <xf numFmtId="0" fontId="4" fillId="7" borderId="9" xfId="0" applyNumberFormat="true" applyFont="true" applyFill="true" applyBorder="true" applyAlignment="true">
      <alignment horizontal="center" vertical="center"/>
    </xf>
    <xf numFmtId="0" fontId="7" fillId="0" borderId="30" xfId="0" applyNumberFormat="true" applyFont="true" applyBorder="true" applyAlignment="true">
      <alignment vertical="center"/>
    </xf>
    <xf numFmtId="0" fontId="7" fillId="0" borderId="31" xfId="0" applyNumberFormat="true" applyFont="true" applyBorder="true" applyAlignment="true">
      <alignment vertical="center"/>
    </xf>
  </cellXfs>
  <cellStyles count="1">
    <cellStyle name="Normal" xfId="0" builtinId="0"/>
  </cellStyles>
  <tableStyles xmlns="http://schemas.openxmlformats.org/spreadsheetml/2006/main"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 /><Relationship Id="rId12" Type="http://schemas.microsoft.com/office/2006/relationships/vbaProject" Target="vbaProject.bin" /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5" Type="http://schemas.openxmlformats.org/officeDocument/2006/relationships/worksheet" Target="worksheets/sheet3.xml" /><Relationship Id="rId6" Type="http://schemas.openxmlformats.org/officeDocument/2006/relationships/worksheet" Target="worksheets/sheet4.xml" /><Relationship Id="rId7" Type="http://schemas.openxmlformats.org/officeDocument/2006/relationships/worksheet" Target="worksheets/sheet5.xml" /><Relationship Id="rId9" Type="http://schemas.openxmlformats.org/officeDocument/2006/relationships/worksheet" Target="worksheets/sheet6.xml" /><Relationship Id="rId10" Type="http://schemas.openxmlformats.org/officeDocument/2006/relationships/worksheet" Target="worksheets/sheet7.xml" /><Relationship Id="rId11" Type="http://schemas.openxmlformats.org/officeDocument/2006/relationships/sharedStrings" Target="sharedStrings.xml" /><Relationship Id="rId1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vmlDrawing" Target="../drawings/GemVmlDrawing1.vml" /><Relationship Id="rId2" Type="http://schemas.openxmlformats.org/officeDocument/2006/relationships/comments" Target="../GemComments1.xml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1"/>
  <dimension ref="A1:F77"/>
  <sheetViews>
    <sheetView workbookViewId="0" topLeftCell="A1" zoomScaleNormal="100" zoomScaleSheetLayoutView="60" zoomScale="100" view="normal">
      <selection activeCell="C25" sqref="C25"/>
    </sheetView>
  </sheetViews>
  <sheetFormatPr defaultRowHeight="15"/>
  <cols>
    <col min="1" max="1" width="14.57031" customWidth="1" style="1"/>
    <col min="2" max="2" width="15.42578" customWidth="1"/>
    <col min="3" max="3" width="14.71094" customWidth="1"/>
    <col min="4" max="4" width="19.42578" customWidth="1"/>
    <col min="6" max="6" width="14.57031" customWidth="1"/>
  </cols>
  <sheetData>
    <row r="1" ht="15.75">
      <c r="A1" s="2" t="s">
        <v>0</v>
      </c>
      <c r="B1" s="3" t="s">
        <v>1</v>
      </c>
      <c r="C1" s="4" t="s">
        <v>2</v>
      </c>
      <c r="D1" s="4" t="s">
        <v>3</v>
      </c>
    </row>
    <row r="2" ht="18.75">
      <c r="A2" s="5" t="s">
        <v>4</v>
      </c>
      <c r="B2" s="6" t="s">
        <v>5</v>
      </c>
      <c r="C2" s="7" t="s">
        <v>6</v>
      </c>
      <c r="D2" s="7" t="s">
        <v>7</v>
      </c>
      <c r="F2" s="8" t="s">
        <v>4</v>
      </c>
    </row>
    <row r="3" ht="18.75">
      <c r="A3" s="5" t="s">
        <v>8</v>
      </c>
      <c r="B3" s="6" t="s">
        <v>9</v>
      </c>
      <c r="C3" s="7" t="s">
        <v>10</v>
      </c>
      <c r="D3" s="7" t="s">
        <v>7</v>
      </c>
      <c r="F3" s="8" t="s">
        <v>8</v>
      </c>
    </row>
    <row r="4" ht="18.75">
      <c r="A4" s="5" t="s">
        <v>11</v>
      </c>
      <c r="B4" s="6" t="s">
        <v>12</v>
      </c>
      <c r="C4" s="7" t="s">
        <v>13</v>
      </c>
      <c r="D4" s="7"/>
      <c r="F4" s="8" t="s">
        <v>11</v>
      </c>
    </row>
    <row r="5" ht="18.75">
      <c r="A5" s="5" t="s">
        <v>14</v>
      </c>
      <c r="B5" s="6" t="s">
        <v>15</v>
      </c>
      <c r="C5" s="7" t="s">
        <v>16</v>
      </c>
      <c r="D5" s="7"/>
      <c r="F5" s="8" t="s">
        <v>14</v>
      </c>
    </row>
    <row r="6" ht="18.75">
      <c r="A6" s="5" t="s">
        <v>17</v>
      </c>
      <c r="B6" s="6" t="s">
        <v>18</v>
      </c>
      <c r="C6" s="7" t="s">
        <v>19</v>
      </c>
      <c r="D6" s="7"/>
      <c r="F6" s="8" t="s">
        <v>17</v>
      </c>
    </row>
    <row r="7" ht="18.75">
      <c r="A7" s="5" t="s">
        <v>20</v>
      </c>
      <c r="B7" s="6" t="s">
        <v>20</v>
      </c>
      <c r="C7" s="7" t="s">
        <v>20</v>
      </c>
      <c r="D7" s="7"/>
      <c r="F7" s="8" t="s">
        <v>20</v>
      </c>
    </row>
    <row r="8" ht="18.75">
      <c r="A8" s="5" t="s">
        <v>21</v>
      </c>
      <c r="B8" s="6" t="s">
        <v>18</v>
      </c>
      <c r="C8" s="7" t="s">
        <v>22</v>
      </c>
      <c r="D8" s="7"/>
      <c r="F8" s="8" t="s">
        <v>21</v>
      </c>
    </row>
    <row r="9" ht="18.75">
      <c r="A9" s="5" t="s">
        <v>23</v>
      </c>
      <c r="B9" s="6" t="s">
        <v>24</v>
      </c>
      <c r="C9" s="7" t="s">
        <v>25</v>
      </c>
      <c r="D9" s="7"/>
      <c r="F9" s="8" t="s">
        <v>23</v>
      </c>
    </row>
    <row r="10" ht="18.75">
      <c r="A10" s="5" t="s">
        <v>26</v>
      </c>
      <c r="B10" s="6" t="s">
        <v>18</v>
      </c>
      <c r="C10" s="7" t="s">
        <v>22</v>
      </c>
      <c r="D10" s="7"/>
      <c r="F10" s="8" t="s">
        <v>26</v>
      </c>
    </row>
    <row r="11" ht="18.75">
      <c r="A11" s="5" t="s">
        <v>23</v>
      </c>
      <c r="B11" s="6" t="s">
        <v>24</v>
      </c>
      <c r="C11" s="7" t="s">
        <v>25</v>
      </c>
      <c r="D11" s="7"/>
      <c r="F11" s="8" t="s">
        <v>23</v>
      </c>
    </row>
    <row r="12" ht="18.75">
      <c r="A12" s="5" t="s">
        <v>27</v>
      </c>
      <c r="B12" s="6" t="s">
        <v>18</v>
      </c>
      <c r="C12" s="7" t="s">
        <v>19</v>
      </c>
      <c r="D12" s="7"/>
      <c r="F12" s="8" t="s">
        <v>27</v>
      </c>
    </row>
    <row r="13" ht="18.75">
      <c r="A13" s="5" t="s">
        <v>20</v>
      </c>
      <c r="B13" s="6" t="s">
        <v>20</v>
      </c>
      <c r="C13" s="7" t="s">
        <v>20</v>
      </c>
      <c r="D13" s="7"/>
      <c r="F13" s="8" t="s">
        <v>20</v>
      </c>
    </row>
    <row r="14" ht="18.75">
      <c r="A14" s="5" t="s">
        <v>28</v>
      </c>
      <c r="B14" s="6" t="s">
        <v>29</v>
      </c>
      <c r="C14" s="7" t="s">
        <v>19</v>
      </c>
      <c r="D14" s="7"/>
      <c r="F14" s="8" t="s">
        <v>28</v>
      </c>
    </row>
    <row r="15" ht="18.75">
      <c r="A15" s="5" t="s">
        <v>20</v>
      </c>
      <c r="B15" s="6" t="s">
        <v>20</v>
      </c>
      <c r="C15" s="7" t="s">
        <v>20</v>
      </c>
      <c r="D15" s="7"/>
      <c r="F15" s="8" t="s">
        <v>20</v>
      </c>
    </row>
    <row r="16" ht="18.75">
      <c r="A16" s="5" t="s">
        <v>30</v>
      </c>
      <c r="B16" s="6" t="s">
        <v>29</v>
      </c>
      <c r="C16" s="7" t="s">
        <v>19</v>
      </c>
      <c r="D16" s="7"/>
      <c r="F16" s="8" t="s">
        <v>30</v>
      </c>
    </row>
    <row r="17" ht="18.75">
      <c r="A17" s="5" t="s">
        <v>20</v>
      </c>
      <c r="B17" s="6" t="s">
        <v>20</v>
      </c>
      <c r="C17" s="7" t="s">
        <v>20</v>
      </c>
      <c r="D17" s="7"/>
      <c r="F17" s="8" t="s">
        <v>20</v>
      </c>
    </row>
    <row r="18" ht="18.75">
      <c r="A18" s="5" t="s">
        <v>31</v>
      </c>
      <c r="B18" s="6" t="s">
        <v>32</v>
      </c>
      <c r="C18" s="7" t="s">
        <v>10</v>
      </c>
      <c r="D18" s="7" t="s">
        <v>7</v>
      </c>
      <c r="F18" s="8" t="s">
        <v>31</v>
      </c>
    </row>
    <row r="19" ht="18.75">
      <c r="A19" s="5" t="s">
        <v>33</v>
      </c>
      <c r="B19" s="6" t="s">
        <v>34</v>
      </c>
      <c r="C19" s="7" t="s">
        <v>13</v>
      </c>
      <c r="D19" s="7"/>
      <c r="F19" s="8" t="s">
        <v>33</v>
      </c>
    </row>
    <row r="20" ht="18.75">
      <c r="A20" s="5" t="s">
        <v>14</v>
      </c>
      <c r="B20" s="6" t="s">
        <v>15</v>
      </c>
      <c r="C20" s="7" t="s">
        <v>16</v>
      </c>
      <c r="D20" s="7"/>
      <c r="F20" s="8" t="s">
        <v>14</v>
      </c>
    </row>
    <row r="21" ht="18.75">
      <c r="A21" s="5" t="s">
        <v>35</v>
      </c>
      <c r="B21" s="6" t="s">
        <v>36</v>
      </c>
      <c r="C21" s="7" t="s">
        <v>19</v>
      </c>
      <c r="D21" s="7"/>
      <c r="F21" s="8" t="s">
        <v>35</v>
      </c>
    </row>
    <row r="22" ht="18.75">
      <c r="A22" s="5" t="s">
        <v>20</v>
      </c>
      <c r="B22" s="6" t="s">
        <v>20</v>
      </c>
      <c r="C22" s="7" t="s">
        <v>20</v>
      </c>
      <c r="D22" s="7"/>
      <c r="F22" s="8" t="s">
        <v>20</v>
      </c>
    </row>
    <row r="23" ht="18.75">
      <c r="A23" s="5" t="s">
        <v>37</v>
      </c>
      <c r="B23" s="6" t="s">
        <v>36</v>
      </c>
      <c r="C23" s="7" t="s">
        <v>22</v>
      </c>
      <c r="D23" s="7"/>
      <c r="F23" s="8" t="s">
        <v>37</v>
      </c>
    </row>
    <row r="24" ht="18.75">
      <c r="A24" s="5" t="s">
        <v>23</v>
      </c>
      <c r="B24" s="6" t="s">
        <v>24</v>
      </c>
      <c r="C24" s="7" t="s">
        <v>25</v>
      </c>
      <c r="D24" s="7"/>
      <c r="F24" s="8" t="s">
        <v>23</v>
      </c>
    </row>
    <row r="25" ht="18.75">
      <c r="A25" s="5" t="s">
        <v>38</v>
      </c>
      <c r="B25" s="6" t="s">
        <v>36</v>
      </c>
      <c r="C25" s="7" t="s">
        <v>22</v>
      </c>
      <c r="D25" s="7"/>
      <c r="F25" s="8" t="s">
        <v>38</v>
      </c>
    </row>
    <row r="26" ht="18.75">
      <c r="A26" s="5" t="s">
        <v>23</v>
      </c>
      <c r="B26" s="6" t="s">
        <v>24</v>
      </c>
      <c r="C26" s="7" t="s">
        <v>25</v>
      </c>
      <c r="D26" s="7"/>
      <c r="F26" s="8" t="s">
        <v>23</v>
      </c>
    </row>
    <row r="27" ht="18.75">
      <c r="A27" s="5" t="s">
        <v>39</v>
      </c>
      <c r="B27" s="6" t="s">
        <v>36</v>
      </c>
      <c r="C27" s="7" t="s">
        <v>19</v>
      </c>
      <c r="D27" s="7"/>
      <c r="F27" s="8" t="s">
        <v>39</v>
      </c>
    </row>
    <row r="28" ht="18.75">
      <c r="A28" s="5" t="s">
        <v>20</v>
      </c>
      <c r="B28" s="6" t="s">
        <v>20</v>
      </c>
      <c r="C28" s="7" t="s">
        <v>20</v>
      </c>
      <c r="D28" s="7"/>
      <c r="F28" s="8" t="s">
        <v>20</v>
      </c>
    </row>
    <row r="29" ht="18.75">
      <c r="A29" s="5" t="s">
        <v>40</v>
      </c>
      <c r="B29" s="6" t="s">
        <v>41</v>
      </c>
      <c r="C29" s="7" t="s">
        <v>19</v>
      </c>
      <c r="D29" s="7"/>
      <c r="F29" s="8" t="s">
        <v>40</v>
      </c>
    </row>
    <row r="30" ht="18.75">
      <c r="A30" s="5" t="s">
        <v>20</v>
      </c>
      <c r="B30" s="6" t="s">
        <v>20</v>
      </c>
      <c r="C30" s="7" t="s">
        <v>20</v>
      </c>
      <c r="D30" s="7"/>
      <c r="F30" s="8" t="s">
        <v>20</v>
      </c>
    </row>
    <row r="31" ht="18.75">
      <c r="A31" s="5" t="s">
        <v>42</v>
      </c>
      <c r="B31" s="6" t="s">
        <v>41</v>
      </c>
      <c r="C31" s="7" t="s">
        <v>19</v>
      </c>
      <c r="D31" s="7"/>
      <c r="F31" s="8" t="s">
        <v>42</v>
      </c>
    </row>
    <row r="32" ht="18.75">
      <c r="A32" s="5" t="s">
        <v>20</v>
      </c>
      <c r="B32" s="6" t="s">
        <v>20</v>
      </c>
      <c r="C32" s="7" t="s">
        <v>20</v>
      </c>
      <c r="D32" s="7"/>
      <c r="F32" s="8" t="s">
        <v>20</v>
      </c>
    </row>
    <row r="33" ht="18.75">
      <c r="A33" s="5" t="s">
        <v>43</v>
      </c>
      <c r="B33" s="6" t="s">
        <v>44</v>
      </c>
      <c r="C33" s="7" t="s">
        <v>10</v>
      </c>
      <c r="D33" s="7" t="s">
        <v>7</v>
      </c>
      <c r="F33" s="8" t="s">
        <v>43</v>
      </c>
    </row>
    <row r="34" ht="18.75">
      <c r="A34" s="5" t="s">
        <v>45</v>
      </c>
      <c r="B34" s="6" t="s">
        <v>46</v>
      </c>
      <c r="C34" s="7" t="s">
        <v>13</v>
      </c>
      <c r="D34" s="7"/>
      <c r="F34" s="8" t="s">
        <v>45</v>
      </c>
    </row>
    <row r="35" ht="18.75">
      <c r="A35" s="5" t="s">
        <v>14</v>
      </c>
      <c r="B35" s="6" t="s">
        <v>15</v>
      </c>
      <c r="C35" s="7" t="s">
        <v>16</v>
      </c>
      <c r="D35" s="7"/>
      <c r="F35" s="8" t="s">
        <v>14</v>
      </c>
    </row>
    <row r="36" ht="18.75">
      <c r="A36" s="5" t="s">
        <v>47</v>
      </c>
      <c r="B36" s="6" t="s">
        <v>48</v>
      </c>
      <c r="C36" s="7" t="s">
        <v>19</v>
      </c>
      <c r="D36" s="7"/>
      <c r="F36" s="8" t="s">
        <v>47</v>
      </c>
    </row>
    <row r="37" ht="18.75">
      <c r="A37" s="5" t="s">
        <v>20</v>
      </c>
      <c r="B37" s="6" t="s">
        <v>20</v>
      </c>
      <c r="C37" s="7" t="s">
        <v>20</v>
      </c>
      <c r="D37" s="7"/>
      <c r="F37" s="8" t="s">
        <v>20</v>
      </c>
    </row>
    <row r="38" ht="18.75">
      <c r="A38" s="5" t="s">
        <v>49</v>
      </c>
      <c r="B38" s="6" t="s">
        <v>48</v>
      </c>
      <c r="C38" s="7" t="s">
        <v>22</v>
      </c>
      <c r="D38" s="7"/>
      <c r="F38" s="8" t="s">
        <v>49</v>
      </c>
    </row>
    <row r="39" ht="18.75">
      <c r="A39" s="5" t="s">
        <v>23</v>
      </c>
      <c r="B39" s="6" t="s">
        <v>24</v>
      </c>
      <c r="C39" s="7" t="s">
        <v>25</v>
      </c>
      <c r="D39" s="7"/>
      <c r="F39" s="8" t="s">
        <v>23</v>
      </c>
    </row>
    <row r="40" ht="18.75">
      <c r="A40" s="5" t="s">
        <v>50</v>
      </c>
      <c r="B40" s="6" t="s">
        <v>48</v>
      </c>
      <c r="C40" s="7" t="s">
        <v>22</v>
      </c>
      <c r="D40" s="7"/>
      <c r="F40" s="8" t="s">
        <v>50</v>
      </c>
    </row>
    <row r="41" ht="18.75">
      <c r="A41" s="5" t="s">
        <v>23</v>
      </c>
      <c r="B41" s="6" t="s">
        <v>24</v>
      </c>
      <c r="C41" s="7" t="s">
        <v>25</v>
      </c>
      <c r="D41" s="7"/>
      <c r="F41" s="8" t="s">
        <v>23</v>
      </c>
    </row>
    <row r="42" ht="18.75">
      <c r="A42" s="5" t="s">
        <v>51</v>
      </c>
      <c r="B42" s="6" t="s">
        <v>48</v>
      </c>
      <c r="C42" s="7" t="s">
        <v>19</v>
      </c>
      <c r="D42" s="7"/>
      <c r="F42" s="8" t="s">
        <v>51</v>
      </c>
    </row>
    <row r="43" ht="18.75">
      <c r="A43" s="5" t="s">
        <v>20</v>
      </c>
      <c r="B43" s="6" t="s">
        <v>20</v>
      </c>
      <c r="C43" s="7" t="s">
        <v>20</v>
      </c>
      <c r="D43" s="7"/>
      <c r="F43" s="8" t="s">
        <v>20</v>
      </c>
    </row>
    <row r="44" ht="18.75">
      <c r="A44" s="5" t="s">
        <v>52</v>
      </c>
      <c r="B44" s="6" t="s">
        <v>53</v>
      </c>
      <c r="C44" s="7" t="s">
        <v>19</v>
      </c>
      <c r="D44" s="7"/>
      <c r="F44" s="8" t="s">
        <v>52</v>
      </c>
    </row>
    <row r="45" ht="18.75">
      <c r="A45" s="5" t="s">
        <v>20</v>
      </c>
      <c r="B45" s="6" t="s">
        <v>20</v>
      </c>
      <c r="C45" s="7" t="s">
        <v>20</v>
      </c>
      <c r="D45" s="7"/>
      <c r="F45" s="8" t="s">
        <v>20</v>
      </c>
    </row>
    <row r="46" ht="18.75">
      <c r="A46" s="5" t="s">
        <v>54</v>
      </c>
      <c r="B46" s="6" t="s">
        <v>53</v>
      </c>
      <c r="C46" s="7" t="s">
        <v>19</v>
      </c>
      <c r="D46" s="7"/>
      <c r="F46" s="8" t="s">
        <v>54</v>
      </c>
    </row>
    <row r="47" ht="18.75">
      <c r="A47" s="5" t="s">
        <v>20</v>
      </c>
      <c r="B47" s="6" t="s">
        <v>20</v>
      </c>
      <c r="C47" s="7" t="s">
        <v>20</v>
      </c>
      <c r="D47" s="7"/>
      <c r="F47" s="8" t="s">
        <v>20</v>
      </c>
    </row>
    <row r="48" ht="18.75">
      <c r="A48" s="5" t="s">
        <v>55</v>
      </c>
      <c r="B48" s="6" t="s">
        <v>56</v>
      </c>
      <c r="C48" s="7" t="s">
        <v>10</v>
      </c>
      <c r="D48" s="7" t="s">
        <v>7</v>
      </c>
      <c r="F48" s="8" t="s">
        <v>55</v>
      </c>
    </row>
    <row r="49" ht="18.75">
      <c r="A49" s="5" t="s">
        <v>57</v>
      </c>
      <c r="B49" s="6" t="s">
        <v>58</v>
      </c>
      <c r="C49" s="7" t="s">
        <v>13</v>
      </c>
      <c r="D49" s="7"/>
      <c r="F49" s="8" t="s">
        <v>57</v>
      </c>
    </row>
    <row r="50" ht="18.75">
      <c r="A50" s="5" t="s">
        <v>14</v>
      </c>
      <c r="B50" s="6" t="s">
        <v>15</v>
      </c>
      <c r="C50" s="7" t="s">
        <v>16</v>
      </c>
      <c r="D50" s="7"/>
      <c r="F50" s="8" t="s">
        <v>14</v>
      </c>
    </row>
    <row r="51" ht="18.75">
      <c r="A51" s="5" t="s">
        <v>59</v>
      </c>
      <c r="B51" s="6" t="s">
        <v>60</v>
      </c>
      <c r="C51" s="7" t="s">
        <v>19</v>
      </c>
      <c r="D51" s="7"/>
      <c r="F51" s="8" t="s">
        <v>59</v>
      </c>
    </row>
    <row r="52" ht="18.75">
      <c r="A52" s="5" t="s">
        <v>20</v>
      </c>
      <c r="B52" s="6" t="s">
        <v>20</v>
      </c>
      <c r="C52" s="7" t="s">
        <v>20</v>
      </c>
      <c r="D52" s="7"/>
      <c r="F52" s="8" t="s">
        <v>20</v>
      </c>
    </row>
    <row r="53" ht="18.75">
      <c r="A53" s="5" t="s">
        <v>61</v>
      </c>
      <c r="B53" s="6" t="s">
        <v>60</v>
      </c>
      <c r="C53" s="7" t="s">
        <v>22</v>
      </c>
      <c r="D53" s="7"/>
      <c r="F53" s="8" t="s">
        <v>61</v>
      </c>
    </row>
    <row r="54" ht="18.75">
      <c r="A54" s="5" t="s">
        <v>23</v>
      </c>
      <c r="B54" s="6" t="s">
        <v>24</v>
      </c>
      <c r="C54" s="7" t="s">
        <v>25</v>
      </c>
      <c r="D54" s="7"/>
      <c r="F54" s="8" t="s">
        <v>23</v>
      </c>
    </row>
    <row r="55" ht="18.75">
      <c r="A55" s="5" t="s">
        <v>62</v>
      </c>
      <c r="B55" s="6" t="s">
        <v>60</v>
      </c>
      <c r="C55" s="7" t="s">
        <v>22</v>
      </c>
      <c r="D55" s="7"/>
      <c r="F55" s="8" t="s">
        <v>62</v>
      </c>
    </row>
    <row r="56" ht="18.75">
      <c r="A56" s="5" t="s">
        <v>23</v>
      </c>
      <c r="B56" s="6" t="s">
        <v>24</v>
      </c>
      <c r="C56" s="7" t="s">
        <v>25</v>
      </c>
      <c r="D56" s="7"/>
      <c r="F56" s="8" t="s">
        <v>23</v>
      </c>
    </row>
    <row r="57" ht="18.75">
      <c r="A57" s="5" t="s">
        <v>63</v>
      </c>
      <c r="B57" s="6" t="s">
        <v>60</v>
      </c>
      <c r="C57" s="7" t="s">
        <v>19</v>
      </c>
      <c r="D57" s="7"/>
      <c r="F57" s="8" t="s">
        <v>63</v>
      </c>
    </row>
    <row r="58" ht="18.75">
      <c r="A58" s="5" t="s">
        <v>20</v>
      </c>
      <c r="B58" s="6" t="s">
        <v>20</v>
      </c>
      <c r="C58" s="7" t="s">
        <v>20</v>
      </c>
      <c r="D58" s="7"/>
      <c r="F58" s="8" t="s">
        <v>20</v>
      </c>
    </row>
    <row r="59" ht="18.75">
      <c r="A59" s="5" t="s">
        <v>64</v>
      </c>
      <c r="B59" s="6" t="s">
        <v>65</v>
      </c>
      <c r="C59" s="7" t="s">
        <v>19</v>
      </c>
      <c r="D59" s="7"/>
      <c r="F59" s="8" t="s">
        <v>64</v>
      </c>
    </row>
    <row r="60" ht="18.75">
      <c r="A60" s="5" t="s">
        <v>20</v>
      </c>
      <c r="B60" s="6" t="s">
        <v>20</v>
      </c>
      <c r="C60" s="7" t="s">
        <v>20</v>
      </c>
      <c r="D60" s="7"/>
      <c r="F60" s="8" t="s">
        <v>20</v>
      </c>
    </row>
    <row r="61" ht="18.75">
      <c r="A61" s="5" t="s">
        <v>66</v>
      </c>
      <c r="B61" s="6" t="s">
        <v>65</v>
      </c>
      <c r="C61" s="7" t="s">
        <v>19</v>
      </c>
      <c r="D61" s="7"/>
      <c r="F61" s="8" t="s">
        <v>66</v>
      </c>
    </row>
    <row r="62" ht="18.75">
      <c r="A62" s="5" t="s">
        <v>20</v>
      </c>
      <c r="B62" s="6" t="s">
        <v>20</v>
      </c>
      <c r="C62" s="7" t="s">
        <v>20</v>
      </c>
      <c r="D62" s="7"/>
      <c r="F62" s="8" t="s">
        <v>20</v>
      </c>
    </row>
    <row r="63" ht="18.75">
      <c r="A63" s="5" t="s">
        <v>67</v>
      </c>
      <c r="B63" s="6" t="s">
        <v>68</v>
      </c>
      <c r="C63" s="7" t="s">
        <v>10</v>
      </c>
      <c r="D63" s="7" t="s">
        <v>7</v>
      </c>
      <c r="F63" s="8" t="s">
        <v>67</v>
      </c>
    </row>
    <row r="64" ht="18.75">
      <c r="A64" s="5" t="s">
        <v>69</v>
      </c>
      <c r="B64" s="6" t="s">
        <v>70</v>
      </c>
      <c r="C64" s="7" t="s">
        <v>22</v>
      </c>
      <c r="D64" s="7"/>
      <c r="F64" s="8" t="s">
        <v>69</v>
      </c>
    </row>
    <row r="65" ht="18.75">
      <c r="A65" s="5" t="s">
        <v>71</v>
      </c>
      <c r="B65" s="6" t="s">
        <v>72</v>
      </c>
      <c r="C65" s="7" t="s">
        <v>25</v>
      </c>
      <c r="D65" s="7"/>
      <c r="F65" s="8" t="s">
        <v>71</v>
      </c>
    </row>
    <row r="66" ht="18.75">
      <c r="A66" s="5" t="s">
        <v>73</v>
      </c>
      <c r="B66" s="6" t="s">
        <v>70</v>
      </c>
      <c r="C66" s="7" t="s">
        <v>19</v>
      </c>
      <c r="D66" s="7"/>
      <c r="F66" s="8" t="s">
        <v>73</v>
      </c>
    </row>
    <row r="67" ht="18.75">
      <c r="A67" s="5" t="s">
        <v>20</v>
      </c>
      <c r="B67" s="6" t="s">
        <v>20</v>
      </c>
      <c r="C67" s="7" t="s">
        <v>20</v>
      </c>
      <c r="D67" s="7"/>
      <c r="F67" s="8" t="s">
        <v>20</v>
      </c>
    </row>
    <row r="68" ht="18.75">
      <c r="A68" s="5" t="s">
        <v>74</v>
      </c>
      <c r="B68" s="6" t="s">
        <v>70</v>
      </c>
      <c r="C68" s="7" t="s">
        <v>19</v>
      </c>
      <c r="D68" s="7"/>
      <c r="F68" s="8" t="s">
        <v>74</v>
      </c>
    </row>
    <row r="69" ht="18.75">
      <c r="A69" s="5" t="s">
        <v>20</v>
      </c>
      <c r="B69" s="6" t="s">
        <v>20</v>
      </c>
      <c r="C69" s="7" t="s">
        <v>20</v>
      </c>
      <c r="D69" s="7"/>
      <c r="F69" s="8" t="s">
        <v>20</v>
      </c>
    </row>
    <row r="70" ht="18.75">
      <c r="A70" s="5" t="s">
        <v>75</v>
      </c>
      <c r="B70" s="6" t="s">
        <v>70</v>
      </c>
      <c r="C70" s="7" t="s">
        <v>19</v>
      </c>
      <c r="D70" s="7"/>
      <c r="F70" s="8" t="s">
        <v>75</v>
      </c>
    </row>
    <row r="71" ht="18.75">
      <c r="A71" s="5" t="s">
        <v>20</v>
      </c>
      <c r="B71" s="6" t="s">
        <v>20</v>
      </c>
      <c r="C71" s="7" t="s">
        <v>20</v>
      </c>
      <c r="D71" s="7"/>
      <c r="F71" s="8" t="s">
        <v>20</v>
      </c>
    </row>
    <row r="72" ht="18.75">
      <c r="A72" s="5" t="s">
        <v>76</v>
      </c>
      <c r="B72" s="6" t="s">
        <v>70</v>
      </c>
      <c r="C72" s="7" t="s">
        <v>19</v>
      </c>
      <c r="D72" s="7"/>
      <c r="F72" s="8" t="s">
        <v>76</v>
      </c>
    </row>
    <row r="73" ht="18.75">
      <c r="A73" s="5" t="s">
        <v>20</v>
      </c>
      <c r="B73" s="6" t="s">
        <v>20</v>
      </c>
      <c r="C73" s="7" t="s">
        <v>20</v>
      </c>
      <c r="D73" s="7"/>
      <c r="F73" s="8" t="s">
        <v>20</v>
      </c>
    </row>
    <row r="74" ht="18.75">
      <c r="A74" s="5" t="s">
        <v>77</v>
      </c>
      <c r="B74" s="6" t="s">
        <v>78</v>
      </c>
      <c r="C74" s="7" t="s">
        <v>79</v>
      </c>
      <c r="D74" s="7" t="s">
        <v>79</v>
      </c>
      <c r="F74" s="8" t="s">
        <v>77</v>
      </c>
    </row>
    <row r="75" ht="18.75">
      <c r="A75" s="5" t="s">
        <v>80</v>
      </c>
      <c r="B75" s="6" t="s">
        <v>81</v>
      </c>
      <c r="C75" s="7" t="s">
        <v>79</v>
      </c>
      <c r="D75" s="7" t="s">
        <v>79</v>
      </c>
      <c r="F75" s="8" t="s">
        <v>80</v>
      </c>
    </row>
    <row r="76" ht="18.75">
      <c r="A76" s="5" t="s">
        <v>82</v>
      </c>
      <c r="B76" s="6" t="s">
        <v>83</v>
      </c>
      <c r="C76" s="7" t="s">
        <v>79</v>
      </c>
      <c r="D76" s="7" t="s">
        <v>79</v>
      </c>
      <c r="F76" s="8" t="s">
        <v>82</v>
      </c>
    </row>
    <row r="77" ht="18.75">
      <c r="A77" s="5" t="s">
        <v>80</v>
      </c>
      <c r="B77" s="6" t="s">
        <v>84</v>
      </c>
      <c r="C77" s="7" t="s">
        <v>79</v>
      </c>
      <c r="D77" s="7" t="s">
        <v>79</v>
      </c>
      <c r="F77" s="8" t="s">
        <v>80</v>
      </c>
    </row>
  </sheetData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xl/worksheets/sheet2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2"/>
  <dimension ref="A1:H77"/>
  <sheetViews>
    <sheetView workbookViewId="0" topLeftCell="A1" zoomScaleNormal="100" zoomScaleSheetLayoutView="60" zoomScale="100" view="normal">
      <selection activeCell="F8" sqref="F8"/>
    </sheetView>
  </sheetViews>
  <sheetFormatPr defaultRowHeight="15"/>
  <cols>
    <col min="1" max="1" width="22.85547" customWidth="1"/>
    <col min="2" max="2" width="14.57031" customWidth="1"/>
    <col min="3" max="3" width="40.28516" customWidth="1"/>
    <col min="4" max="4" width="25.28516" customWidth="1"/>
    <col min="5" max="5" width="22.85547" customWidth="1"/>
    <col min="6" max="6" width="14.57031" customWidth="1"/>
    <col min="7" max="7" width="22.85547" customWidth="1"/>
    <col min="8" max="8" width="14.57031" customWidth="1"/>
  </cols>
  <sheetData>
    <row r="1" ht="15.75">
      <c r="A1" s="9" t="s">
        <v>85</v>
      </c>
      <c r="B1" s="9" t="s">
        <v>86</v>
      </c>
      <c r="C1" s="3" t="s">
        <v>87</v>
      </c>
      <c r="D1" s="3" t="s">
        <v>88</v>
      </c>
    </row>
    <row r="2" ht="18.75">
      <c r="A2" s="7" t="str">
        <f ca="1">ModifyCode(G2)</f>
        <v>#NAME?</v>
      </c>
      <c r="B2" s="7" t="str">
        <f ca="1">ModifyCode(H2)</f>
        <v>#NAME?</v>
      </c>
      <c r="C2" s="7">
        <v>1</v>
      </c>
      <c r="D2" s="7" t="s">
        <v>89</v>
      </c>
      <c r="G2" s="10"/>
      <c r="H2" s="10" t="s">
        <v>4</v>
      </c>
    </row>
    <row r="3" ht="18.75">
      <c r="A3" s="7" t="str">
        <f ca="1">ModifyCode(G3)</f>
        <v>#NAME?</v>
      </c>
      <c r="B3" s="7" t="str">
        <f ca="1">ModifyCode(H3)</f>
        <v>#NAME?</v>
      </c>
      <c r="C3" s="7">
        <v>1</v>
      </c>
      <c r="D3" s="7" t="s">
        <v>89</v>
      </c>
      <c r="G3" s="10" t="s">
        <v>4</v>
      </c>
      <c r="H3" s="10" t="s">
        <v>8</v>
      </c>
    </row>
    <row r="4" ht="18.75">
      <c r="A4" s="7" t="str">
        <f ca="1">ModifyCode(G4)</f>
        <v>#NAME?</v>
      </c>
      <c r="B4" s="7" t="str">
        <f ca="1">ModifyCode(H4)</f>
        <v>#NAME?</v>
      </c>
      <c r="C4" s="7">
        <v>1</v>
      </c>
      <c r="D4" s="7" t="s">
        <v>89</v>
      </c>
      <c r="G4" s="10" t="s">
        <v>8</v>
      </c>
      <c r="H4" s="10" t="s">
        <v>11</v>
      </c>
    </row>
    <row r="5" ht="18.75">
      <c r="A5" s="7" t="str">
        <f ca="1">ModifyCode(G5)</f>
        <v>#NAME?</v>
      </c>
      <c r="B5" s="7" t="str">
        <f ca="1">ModifyCode(H5)</f>
        <v>#NAME?</v>
      </c>
      <c r="C5" s="7">
        <v>0.14899999999999999</v>
      </c>
      <c r="D5" s="7" t="s">
        <v>90</v>
      </c>
      <c r="G5" s="10" t="s">
        <v>11</v>
      </c>
      <c r="H5" s="10" t="s">
        <v>14</v>
      </c>
    </row>
    <row r="6" ht="18.75">
      <c r="A6" s="7" t="str">
        <f ca="1">ModifyCode(G6)</f>
        <v>#NAME?</v>
      </c>
      <c r="B6" s="7" t="str">
        <f ca="1">ModifyCode(H6)</f>
        <v>#NAME?</v>
      </c>
      <c r="C6" s="7">
        <v>1</v>
      </c>
      <c r="D6" s="7" t="s">
        <v>89</v>
      </c>
      <c r="G6" s="10" t="s">
        <v>11</v>
      </c>
      <c r="H6" s="10" t="s">
        <v>17</v>
      </c>
    </row>
    <row r="7" ht="18.75">
      <c r="A7" s="7" t="str">
        <f ca="1">ModifyCode(G7)</f>
        <v>#NAME?</v>
      </c>
      <c r="B7" s="7" t="str">
        <f ca="1">ModifyCode(H7)</f>
        <v>#NAME?</v>
      </c>
      <c r="C7" s="7">
        <v>0.14899999999999999</v>
      </c>
      <c r="D7" s="7" t="s">
        <v>90</v>
      </c>
      <c r="G7" s="10" t="s">
        <v>17</v>
      </c>
      <c r="H7" s="10" t="s">
        <v>20</v>
      </c>
    </row>
    <row r="8" ht="18.75">
      <c r="A8" s="7" t="str">
        <f ca="1">ModifyCode(G8)</f>
        <v>#NAME?</v>
      </c>
      <c r="B8" s="7" t="str">
        <f ca="1">ModifyCode(H8)</f>
        <v>#NAME?</v>
      </c>
      <c r="C8" s="7">
        <v>1</v>
      </c>
      <c r="D8" s="7" t="s">
        <v>89</v>
      </c>
      <c r="G8" s="10" t="s">
        <v>11</v>
      </c>
      <c r="H8" s="10" t="s">
        <v>21</v>
      </c>
    </row>
    <row r="9" ht="18.75">
      <c r="A9" s="7" t="str">
        <f ca="1">ModifyCode(G9)</f>
        <v>#NAME?</v>
      </c>
      <c r="B9" s="7" t="str">
        <f ca="1">ModifyCode(H9)</f>
        <v>#NAME?</v>
      </c>
      <c r="C9" s="7">
        <v>0.14899999999999999</v>
      </c>
      <c r="D9" s="7" t="s">
        <v>90</v>
      </c>
      <c r="G9" s="10" t="s">
        <v>21</v>
      </c>
      <c r="H9" s="10" t="s">
        <v>23</v>
      </c>
    </row>
    <row r="10" ht="18.75">
      <c r="A10" s="7" t="str">
        <f ca="1">ModifyCode(G10)</f>
        <v>#NAME?</v>
      </c>
      <c r="B10" s="7" t="str">
        <f ca="1">ModifyCode(H10)</f>
        <v>#NAME?</v>
      </c>
      <c r="C10" s="7">
        <v>1</v>
      </c>
      <c r="D10" s="7" t="s">
        <v>89</v>
      </c>
      <c r="G10" s="10" t="s">
        <v>11</v>
      </c>
      <c r="H10" s="10" t="s">
        <v>26</v>
      </c>
    </row>
    <row r="11" ht="18.75">
      <c r="A11" s="7" t="str">
        <f ca="1">ModifyCode(G11)</f>
        <v>#NAME?</v>
      </c>
      <c r="B11" s="7" t="str">
        <f ca="1">ModifyCode(H11)</f>
        <v>#NAME?</v>
      </c>
      <c r="C11" s="7">
        <v>0.14899999999999999</v>
      </c>
      <c r="D11" s="7" t="s">
        <v>90</v>
      </c>
      <c r="G11" s="10" t="s">
        <v>26</v>
      </c>
      <c r="H11" s="10" t="s">
        <v>23</v>
      </c>
    </row>
    <row r="12" ht="18.75">
      <c r="A12" s="7" t="str">
        <f ca="1">ModifyCode(G12)</f>
        <v>#NAME?</v>
      </c>
      <c r="B12" s="7" t="str">
        <f ca="1">ModifyCode(H12)</f>
        <v>#NAME?</v>
      </c>
      <c r="C12" s="7">
        <v>1</v>
      </c>
      <c r="D12" s="7" t="s">
        <v>89</v>
      </c>
      <c r="G12" s="10" t="s">
        <v>11</v>
      </c>
      <c r="H12" s="10" t="s">
        <v>27</v>
      </c>
    </row>
    <row r="13" ht="18.75">
      <c r="A13" s="7" t="str">
        <f ca="1">ModifyCode(G13)</f>
        <v>#NAME?</v>
      </c>
      <c r="B13" s="7" t="str">
        <f ca="1">ModifyCode(H13)</f>
        <v>#NAME?</v>
      </c>
      <c r="C13" s="7">
        <v>0.14899999999999999</v>
      </c>
      <c r="D13" s="7" t="s">
        <v>90</v>
      </c>
      <c r="G13" s="10" t="s">
        <v>27</v>
      </c>
      <c r="H13" s="10" t="s">
        <v>20</v>
      </c>
    </row>
    <row r="14" ht="18.75">
      <c r="A14" s="7" t="str">
        <f ca="1">ModifyCode(G14)</f>
        <v>#NAME?</v>
      </c>
      <c r="B14" s="7" t="str">
        <f ca="1">ModifyCode(H14)</f>
        <v>#NAME?</v>
      </c>
      <c r="C14" s="7">
        <v>1</v>
      </c>
      <c r="D14" s="7" t="s">
        <v>89</v>
      </c>
      <c r="G14" s="10" t="s">
        <v>8</v>
      </c>
      <c r="H14" s="10" t="s">
        <v>28</v>
      </c>
    </row>
    <row r="15" ht="18.75">
      <c r="A15" s="7" t="str">
        <f ca="1">ModifyCode(G15)</f>
        <v>#NAME?</v>
      </c>
      <c r="B15" s="7" t="str">
        <f ca="1">ModifyCode(H15)</f>
        <v>#NAME?</v>
      </c>
      <c r="C15" s="7">
        <v>0.017999999999999999</v>
      </c>
      <c r="D15" s="7" t="s">
        <v>90</v>
      </c>
      <c r="G15" s="10" t="s">
        <v>28</v>
      </c>
      <c r="H15" s="10" t="s">
        <v>20</v>
      </c>
    </row>
    <row r="16" ht="18.75">
      <c r="A16" s="7" t="str">
        <f ca="1">ModifyCode(G16)</f>
        <v>#NAME?</v>
      </c>
      <c r="B16" s="7" t="str">
        <f ca="1">ModifyCode(H16)</f>
        <v>#NAME?</v>
      </c>
      <c r="C16" s="7">
        <v>1</v>
      </c>
      <c r="D16" s="7" t="s">
        <v>89</v>
      </c>
      <c r="G16" s="10" t="s">
        <v>8</v>
      </c>
      <c r="H16" s="10" t="s">
        <v>30</v>
      </c>
    </row>
    <row r="17" ht="18.75">
      <c r="A17" s="7" t="str">
        <f ca="1">ModifyCode(G17)</f>
        <v>#NAME?</v>
      </c>
      <c r="B17" s="7" t="str">
        <f ca="1">ModifyCode(H17)</f>
        <v>#NAME?</v>
      </c>
      <c r="C17" s="7">
        <v>0.017999999999999999</v>
      </c>
      <c r="D17" s="7" t="s">
        <v>90</v>
      </c>
      <c r="G17" s="10" t="s">
        <v>30</v>
      </c>
      <c r="H17" s="10" t="s">
        <v>20</v>
      </c>
    </row>
    <row r="18" ht="18.75">
      <c r="A18" s="7" t="str">
        <f ca="1">ModifyCode(G18)</f>
        <v>#NAME?</v>
      </c>
      <c r="B18" s="7" t="str">
        <f ca="1">ModifyCode(H18)</f>
        <v>#NAME?</v>
      </c>
      <c r="C18" s="7">
        <v>1</v>
      </c>
      <c r="D18" s="7" t="s">
        <v>89</v>
      </c>
      <c r="G18" s="10" t="s">
        <v>4</v>
      </c>
      <c r="H18" s="10" t="s">
        <v>31</v>
      </c>
    </row>
    <row r="19" ht="18.75">
      <c r="A19" s="7" t="str">
        <f ca="1">ModifyCode(G19)</f>
        <v>#NAME?</v>
      </c>
      <c r="B19" s="7" t="str">
        <f ca="1">ModifyCode(H19)</f>
        <v>#NAME?</v>
      </c>
      <c r="C19" s="7">
        <v>1</v>
      </c>
      <c r="D19" s="7" t="s">
        <v>89</v>
      </c>
      <c r="G19" s="10" t="s">
        <v>31</v>
      </c>
      <c r="H19" s="10" t="s">
        <v>33</v>
      </c>
    </row>
    <row r="20" ht="18.75">
      <c r="A20" s="7" t="str">
        <f ca="1">ModifyCode(G20)</f>
        <v>#NAME?</v>
      </c>
      <c r="B20" s="7" t="str">
        <f ca="1">ModifyCode(H20)</f>
        <v>#NAME?</v>
      </c>
      <c r="C20" s="7">
        <v>0.21299999999999999</v>
      </c>
      <c r="D20" s="7" t="s">
        <v>90</v>
      </c>
      <c r="G20" s="10" t="s">
        <v>33</v>
      </c>
      <c r="H20" s="10" t="s">
        <v>14</v>
      </c>
    </row>
    <row r="21" ht="18.75">
      <c r="A21" s="7" t="str">
        <f ca="1">ModifyCode(G21)</f>
        <v>#NAME?</v>
      </c>
      <c r="B21" s="7" t="str">
        <f ca="1">ModifyCode(H21)</f>
        <v>#NAME?</v>
      </c>
      <c r="C21" s="7">
        <v>1</v>
      </c>
      <c r="D21" s="7" t="s">
        <v>89</v>
      </c>
      <c r="G21" s="10" t="s">
        <v>33</v>
      </c>
      <c r="H21" s="10" t="s">
        <v>35</v>
      </c>
    </row>
    <row r="22" ht="18.75">
      <c r="A22" s="7" t="str">
        <f ca="1">ModifyCode(G22)</f>
        <v>#NAME?</v>
      </c>
      <c r="B22" s="7" t="str">
        <f ca="1">ModifyCode(H22)</f>
        <v>#NAME?</v>
      </c>
      <c r="C22" s="7">
        <v>0.21299999999999999</v>
      </c>
      <c r="D22" s="7" t="s">
        <v>90</v>
      </c>
      <c r="G22" s="10" t="s">
        <v>35</v>
      </c>
      <c r="H22" s="10" t="s">
        <v>20</v>
      </c>
    </row>
    <row r="23" ht="18.75">
      <c r="A23" s="7" t="str">
        <f ca="1">ModifyCode(G23)</f>
        <v>#NAME?</v>
      </c>
      <c r="B23" s="7" t="str">
        <f ca="1">ModifyCode(H23)</f>
        <v>#NAME?</v>
      </c>
      <c r="C23" s="7">
        <v>1</v>
      </c>
      <c r="D23" s="7" t="s">
        <v>89</v>
      </c>
      <c r="G23" s="10" t="s">
        <v>33</v>
      </c>
      <c r="H23" s="10" t="s">
        <v>37</v>
      </c>
    </row>
    <row r="24" ht="18.75">
      <c r="A24" s="7" t="str">
        <f ca="1">ModifyCode(G24)</f>
        <v>#NAME?</v>
      </c>
      <c r="B24" s="7" t="str">
        <f ca="1">ModifyCode(H24)</f>
        <v>#NAME?</v>
      </c>
      <c r="C24" s="7">
        <v>0.21299999999999999</v>
      </c>
      <c r="D24" s="7" t="s">
        <v>90</v>
      </c>
      <c r="G24" s="10" t="s">
        <v>37</v>
      </c>
      <c r="H24" s="10" t="s">
        <v>23</v>
      </c>
    </row>
    <row r="25" ht="18.75">
      <c r="A25" s="7" t="str">
        <f ca="1">ModifyCode(G25)</f>
        <v>#NAME?</v>
      </c>
      <c r="B25" s="7" t="str">
        <f ca="1">ModifyCode(H25)</f>
        <v>#NAME?</v>
      </c>
      <c r="C25" s="7">
        <v>1</v>
      </c>
      <c r="D25" s="7" t="s">
        <v>89</v>
      </c>
      <c r="G25" s="10" t="s">
        <v>33</v>
      </c>
      <c r="H25" s="10" t="s">
        <v>38</v>
      </c>
    </row>
    <row r="26" ht="18.75">
      <c r="A26" s="7" t="str">
        <f ca="1">ModifyCode(G26)</f>
        <v>#NAME?</v>
      </c>
      <c r="B26" s="7" t="str">
        <f ca="1">ModifyCode(H26)</f>
        <v>#NAME?</v>
      </c>
      <c r="C26" s="7">
        <v>0.21299999999999999</v>
      </c>
      <c r="D26" s="7" t="s">
        <v>90</v>
      </c>
      <c r="G26" s="10" t="s">
        <v>38</v>
      </c>
      <c r="H26" s="10" t="s">
        <v>23</v>
      </c>
    </row>
    <row r="27" ht="18.75">
      <c r="A27" s="7" t="str">
        <f ca="1">ModifyCode(G27)</f>
        <v>#NAME?</v>
      </c>
      <c r="B27" s="7" t="str">
        <f ca="1">ModifyCode(H27)</f>
        <v>#NAME?</v>
      </c>
      <c r="C27" s="7">
        <v>1</v>
      </c>
      <c r="D27" s="7" t="s">
        <v>89</v>
      </c>
      <c r="G27" s="10" t="s">
        <v>33</v>
      </c>
      <c r="H27" s="10" t="s">
        <v>39</v>
      </c>
    </row>
    <row r="28" ht="18.75">
      <c r="A28" s="7" t="str">
        <f ca="1">ModifyCode(G28)</f>
        <v>#NAME?</v>
      </c>
      <c r="B28" s="7" t="str">
        <f ca="1">ModifyCode(H28)</f>
        <v>#NAME?</v>
      </c>
      <c r="C28" s="7">
        <v>0.21299999999999999</v>
      </c>
      <c r="D28" s="7" t="s">
        <v>90</v>
      </c>
      <c r="G28" s="10" t="s">
        <v>39</v>
      </c>
      <c r="H28" s="10" t="s">
        <v>20</v>
      </c>
    </row>
    <row r="29" ht="18.75">
      <c r="A29" s="7" t="str">
        <f ca="1">ModifyCode(G29)</f>
        <v>#NAME?</v>
      </c>
      <c r="B29" s="7" t="str">
        <f ca="1">ModifyCode(H29)</f>
        <v>#NAME?</v>
      </c>
      <c r="C29" s="7">
        <v>1</v>
      </c>
      <c r="D29" s="7" t="s">
        <v>89</v>
      </c>
      <c r="G29" s="10" t="s">
        <v>31</v>
      </c>
      <c r="H29" s="10" t="s">
        <v>40</v>
      </c>
    </row>
    <row r="30" ht="18.75">
      <c r="A30" s="7" t="str">
        <f ca="1">ModifyCode(G30)</f>
        <v>#NAME?</v>
      </c>
      <c r="B30" s="7" t="str">
        <f ca="1">ModifyCode(H30)</f>
        <v>#NAME?</v>
      </c>
      <c r="C30" s="7">
        <v>0.025999999999999999</v>
      </c>
      <c r="D30" s="7" t="s">
        <v>90</v>
      </c>
      <c r="G30" s="10" t="s">
        <v>40</v>
      </c>
      <c r="H30" s="10" t="s">
        <v>20</v>
      </c>
    </row>
    <row r="31" ht="18.75">
      <c r="A31" s="7" t="str">
        <f ca="1">ModifyCode(G31)</f>
        <v>#NAME?</v>
      </c>
      <c r="B31" s="7" t="str">
        <f ca="1">ModifyCode(H31)</f>
        <v>#NAME?</v>
      </c>
      <c r="C31" s="7">
        <v>1</v>
      </c>
      <c r="D31" s="7" t="s">
        <v>89</v>
      </c>
      <c r="G31" s="10" t="s">
        <v>31</v>
      </c>
      <c r="H31" s="10" t="s">
        <v>42</v>
      </c>
    </row>
    <row r="32" ht="18.75">
      <c r="A32" s="7" t="str">
        <f ca="1">ModifyCode(G32)</f>
        <v>#NAME?</v>
      </c>
      <c r="B32" s="7" t="str">
        <f ca="1">ModifyCode(H32)</f>
        <v>#NAME?</v>
      </c>
      <c r="C32" s="7">
        <v>0.025999999999999999</v>
      </c>
      <c r="D32" s="7" t="s">
        <v>90</v>
      </c>
      <c r="G32" s="10" t="s">
        <v>42</v>
      </c>
      <c r="H32" s="10" t="s">
        <v>20</v>
      </c>
    </row>
    <row r="33" ht="18.75">
      <c r="A33" s="7" t="str">
        <f ca="1">ModifyCode(G33)</f>
        <v>#NAME?</v>
      </c>
      <c r="B33" s="7" t="str">
        <f ca="1">ModifyCode(H33)</f>
        <v>#NAME?</v>
      </c>
      <c r="C33" s="7">
        <v>1</v>
      </c>
      <c r="D33" s="7" t="s">
        <v>89</v>
      </c>
      <c r="G33" s="10" t="s">
        <v>4</v>
      </c>
      <c r="H33" s="10" t="s">
        <v>43</v>
      </c>
    </row>
    <row r="34" ht="18.75">
      <c r="A34" s="7" t="str">
        <f ca="1">ModifyCode(G34)</f>
        <v>#NAME?</v>
      </c>
      <c r="B34" s="7" t="str">
        <f ca="1">ModifyCode(H34)</f>
        <v>#NAME?</v>
      </c>
      <c r="C34" s="7">
        <v>1</v>
      </c>
      <c r="D34" s="7" t="s">
        <v>89</v>
      </c>
      <c r="G34" s="10" t="s">
        <v>43</v>
      </c>
      <c r="H34" s="10" t="s">
        <v>45</v>
      </c>
    </row>
    <row r="35" ht="18.75">
      <c r="A35" s="7" t="str">
        <f ca="1">ModifyCode(G35)</f>
        <v>#NAME?</v>
      </c>
      <c r="B35" s="7" t="str">
        <f ca="1">ModifyCode(H35)</f>
        <v>#NAME?</v>
      </c>
      <c r="C35" s="7">
        <v>0.13600000000000001</v>
      </c>
      <c r="D35" s="7" t="s">
        <v>90</v>
      </c>
      <c r="G35" s="10" t="s">
        <v>45</v>
      </c>
      <c r="H35" s="10" t="s">
        <v>14</v>
      </c>
    </row>
    <row r="36" ht="18.75">
      <c r="A36" s="7" t="str">
        <f ca="1">ModifyCode(G36)</f>
        <v>#NAME?</v>
      </c>
      <c r="B36" s="7" t="str">
        <f ca="1">ModifyCode(H36)</f>
        <v>#NAME?</v>
      </c>
      <c r="C36" s="7">
        <v>1</v>
      </c>
      <c r="D36" s="7" t="s">
        <v>89</v>
      </c>
      <c r="G36" s="10" t="s">
        <v>45</v>
      </c>
      <c r="H36" s="10" t="s">
        <v>47</v>
      </c>
    </row>
    <row r="37" ht="18.75">
      <c r="A37" s="7" t="str">
        <f ca="1">ModifyCode(G37)</f>
        <v>#NAME?</v>
      </c>
      <c r="B37" s="7" t="str">
        <f ca="1">ModifyCode(H37)</f>
        <v>#NAME?</v>
      </c>
      <c r="C37" s="7">
        <v>0.13600000000000001</v>
      </c>
      <c r="D37" s="7" t="s">
        <v>90</v>
      </c>
      <c r="G37" s="10" t="s">
        <v>47</v>
      </c>
      <c r="H37" s="10" t="s">
        <v>20</v>
      </c>
    </row>
    <row r="38" ht="18.75">
      <c r="A38" s="7" t="str">
        <f ca="1">ModifyCode(G38)</f>
        <v>#NAME?</v>
      </c>
      <c r="B38" s="7" t="str">
        <f ca="1">ModifyCode(H38)</f>
        <v>#NAME?</v>
      </c>
      <c r="C38" s="7">
        <v>1</v>
      </c>
      <c r="D38" s="7" t="s">
        <v>89</v>
      </c>
      <c r="G38" s="10" t="s">
        <v>45</v>
      </c>
      <c r="H38" s="10" t="s">
        <v>49</v>
      </c>
    </row>
    <row r="39" ht="18.75">
      <c r="A39" s="7" t="str">
        <f ca="1">ModifyCode(G39)</f>
        <v>#NAME?</v>
      </c>
      <c r="B39" s="7" t="str">
        <f ca="1">ModifyCode(H39)</f>
        <v>#NAME?</v>
      </c>
      <c r="C39" s="7">
        <v>0.13600000000000001</v>
      </c>
      <c r="D39" s="7" t="s">
        <v>90</v>
      </c>
      <c r="G39" s="10" t="s">
        <v>49</v>
      </c>
      <c r="H39" s="10" t="s">
        <v>23</v>
      </c>
    </row>
    <row r="40" ht="18.75">
      <c r="A40" s="7" t="str">
        <f ca="1">ModifyCode(G40)</f>
        <v>#NAME?</v>
      </c>
      <c r="B40" s="7" t="str">
        <f ca="1">ModifyCode(H40)</f>
        <v>#NAME?</v>
      </c>
      <c r="C40" s="7">
        <v>1</v>
      </c>
      <c r="D40" s="7" t="s">
        <v>89</v>
      </c>
      <c r="G40" s="10" t="s">
        <v>45</v>
      </c>
      <c r="H40" s="10" t="s">
        <v>50</v>
      </c>
    </row>
    <row r="41" ht="18.75">
      <c r="A41" s="7" t="str">
        <f ca="1">ModifyCode(G41)</f>
        <v>#NAME?</v>
      </c>
      <c r="B41" s="7" t="str">
        <f ca="1">ModifyCode(H41)</f>
        <v>#NAME?</v>
      </c>
      <c r="C41" s="7">
        <v>0.13600000000000001</v>
      </c>
      <c r="D41" s="7" t="s">
        <v>90</v>
      </c>
      <c r="G41" s="10" t="s">
        <v>50</v>
      </c>
      <c r="H41" s="10" t="s">
        <v>23</v>
      </c>
    </row>
    <row r="42" ht="18.75">
      <c r="A42" s="7" t="str">
        <f ca="1">ModifyCode(G42)</f>
        <v>#NAME?</v>
      </c>
      <c r="B42" s="7" t="str">
        <f ca="1">ModifyCode(H42)</f>
        <v>#NAME?</v>
      </c>
      <c r="C42" s="7">
        <v>1</v>
      </c>
      <c r="D42" s="7" t="s">
        <v>89</v>
      </c>
      <c r="G42" s="10" t="s">
        <v>45</v>
      </c>
      <c r="H42" s="10" t="s">
        <v>51</v>
      </c>
    </row>
    <row r="43" ht="18.75">
      <c r="A43" s="7" t="str">
        <f ca="1">ModifyCode(G43)</f>
        <v>#NAME?</v>
      </c>
      <c r="B43" s="7" t="str">
        <f ca="1">ModifyCode(H43)</f>
        <v>#NAME?</v>
      </c>
      <c r="C43" s="7">
        <v>0.13600000000000001</v>
      </c>
      <c r="D43" s="7" t="s">
        <v>90</v>
      </c>
      <c r="G43" s="10" t="s">
        <v>51</v>
      </c>
      <c r="H43" s="10" t="s">
        <v>20</v>
      </c>
    </row>
    <row r="44" ht="18.75">
      <c r="A44" s="7" t="str">
        <f ca="1">ModifyCode(G44)</f>
        <v>#NAME?</v>
      </c>
      <c r="B44" s="7" t="str">
        <f ca="1">ModifyCode(H44)</f>
        <v>#NAME?</v>
      </c>
      <c r="C44" s="7">
        <v>1</v>
      </c>
      <c r="D44" s="7" t="s">
        <v>89</v>
      </c>
      <c r="G44" s="10" t="s">
        <v>43</v>
      </c>
      <c r="H44" s="10" t="s">
        <v>52</v>
      </c>
    </row>
    <row r="45" ht="18.75">
      <c r="A45" s="7" t="str">
        <f ca="1">ModifyCode(G45)</f>
        <v>#NAME?</v>
      </c>
      <c r="B45" s="7" t="str">
        <f ca="1">ModifyCode(H45)</f>
        <v>#NAME?</v>
      </c>
      <c r="C45" s="7">
        <v>0.017000000000000001</v>
      </c>
      <c r="D45" s="7" t="s">
        <v>90</v>
      </c>
      <c r="G45" s="10" t="s">
        <v>52</v>
      </c>
      <c r="H45" s="10" t="s">
        <v>20</v>
      </c>
    </row>
    <row r="46" ht="18.75">
      <c r="A46" s="7" t="str">
        <f ca="1">ModifyCode(G46)</f>
        <v>#NAME?</v>
      </c>
      <c r="B46" s="7" t="str">
        <f ca="1">ModifyCode(H46)</f>
        <v>#NAME?</v>
      </c>
      <c r="C46" s="7">
        <v>1</v>
      </c>
      <c r="D46" s="7" t="s">
        <v>89</v>
      </c>
      <c r="G46" s="10" t="s">
        <v>43</v>
      </c>
      <c r="H46" s="10" t="s">
        <v>54</v>
      </c>
    </row>
    <row r="47" ht="18.75">
      <c r="A47" s="7" t="str">
        <f ca="1">ModifyCode(G47)</f>
        <v>#NAME?</v>
      </c>
      <c r="B47" s="7" t="str">
        <f ca="1">ModifyCode(H47)</f>
        <v>#NAME?</v>
      </c>
      <c r="C47" s="7">
        <v>0.017000000000000001</v>
      </c>
      <c r="D47" s="7" t="s">
        <v>90</v>
      </c>
      <c r="G47" s="10" t="s">
        <v>54</v>
      </c>
      <c r="H47" s="10" t="s">
        <v>20</v>
      </c>
    </row>
    <row r="48" ht="18.75">
      <c r="A48" s="7" t="str">
        <f ca="1">ModifyCode(G48)</f>
        <v>#NAME?</v>
      </c>
      <c r="B48" s="7" t="str">
        <f ca="1">ModifyCode(H48)</f>
        <v>#NAME?</v>
      </c>
      <c r="C48" s="7">
        <v>1</v>
      </c>
      <c r="D48" s="7" t="s">
        <v>89</v>
      </c>
      <c r="G48" s="10" t="s">
        <v>4</v>
      </c>
      <c r="H48" s="10" t="s">
        <v>55</v>
      </c>
    </row>
    <row r="49" ht="18.75">
      <c r="A49" s="7" t="str">
        <f ca="1">ModifyCode(G49)</f>
        <v>#NAME?</v>
      </c>
      <c r="B49" s="7" t="str">
        <f ca="1">ModifyCode(H49)</f>
        <v>#NAME?</v>
      </c>
      <c r="C49" s="7">
        <v>1</v>
      </c>
      <c r="D49" s="7" t="s">
        <v>89</v>
      </c>
      <c r="G49" s="10" t="s">
        <v>55</v>
      </c>
      <c r="H49" s="10" t="s">
        <v>57</v>
      </c>
    </row>
    <row r="50" ht="18.75">
      <c r="A50" s="7" t="str">
        <f ca="1">ModifyCode(G50)</f>
        <v>#NAME?</v>
      </c>
      <c r="B50" s="7" t="str">
        <f ca="1">ModifyCode(H50)</f>
        <v>#NAME?</v>
      </c>
      <c r="C50" s="7">
        <v>0.13600000000000001</v>
      </c>
      <c r="D50" s="7" t="s">
        <v>90</v>
      </c>
      <c r="G50" s="10" t="s">
        <v>57</v>
      </c>
      <c r="H50" s="10" t="s">
        <v>14</v>
      </c>
    </row>
    <row r="51" ht="18.75">
      <c r="A51" s="7" t="str">
        <f ca="1">ModifyCode(G51)</f>
        <v>#NAME?</v>
      </c>
      <c r="B51" s="7" t="str">
        <f ca="1">ModifyCode(H51)</f>
        <v>#NAME?</v>
      </c>
      <c r="C51" s="7">
        <v>1</v>
      </c>
      <c r="D51" s="7" t="s">
        <v>89</v>
      </c>
      <c r="G51" s="10" t="s">
        <v>57</v>
      </c>
      <c r="H51" s="10" t="s">
        <v>59</v>
      </c>
    </row>
    <row r="52" ht="18.75">
      <c r="A52" s="7" t="str">
        <f ca="1">ModifyCode(G52)</f>
        <v>#NAME?</v>
      </c>
      <c r="B52" s="7" t="str">
        <f ca="1">ModifyCode(H52)</f>
        <v>#NAME?</v>
      </c>
      <c r="C52" s="7">
        <v>0.13600000000000001</v>
      </c>
      <c r="D52" s="7" t="s">
        <v>90</v>
      </c>
      <c r="G52" s="10" t="s">
        <v>59</v>
      </c>
      <c r="H52" s="10" t="s">
        <v>20</v>
      </c>
    </row>
    <row r="53" ht="18.75">
      <c r="A53" s="7" t="str">
        <f ca="1">ModifyCode(G53)</f>
        <v>#NAME?</v>
      </c>
      <c r="B53" s="7" t="str">
        <f ca="1">ModifyCode(H53)</f>
        <v>#NAME?</v>
      </c>
      <c r="C53" s="7">
        <v>1</v>
      </c>
      <c r="D53" s="7" t="s">
        <v>89</v>
      </c>
      <c r="G53" s="10" t="s">
        <v>57</v>
      </c>
      <c r="H53" s="10" t="s">
        <v>61</v>
      </c>
    </row>
    <row r="54" ht="18.75">
      <c r="A54" s="7" t="str">
        <f ca="1">ModifyCode(G54)</f>
        <v>#NAME?</v>
      </c>
      <c r="B54" s="7" t="str">
        <f ca="1">ModifyCode(H54)</f>
        <v>#NAME?</v>
      </c>
      <c r="C54" s="7">
        <v>0.13600000000000001</v>
      </c>
      <c r="D54" s="7" t="s">
        <v>90</v>
      </c>
      <c r="G54" s="10" t="s">
        <v>61</v>
      </c>
      <c r="H54" s="10" t="s">
        <v>23</v>
      </c>
    </row>
    <row r="55" ht="18.75">
      <c r="A55" s="7" t="str">
        <f ca="1">ModifyCode(G55)</f>
        <v>#NAME?</v>
      </c>
      <c r="B55" s="7" t="str">
        <f ca="1">ModifyCode(H55)</f>
        <v>#NAME?</v>
      </c>
      <c r="C55" s="7">
        <v>1</v>
      </c>
      <c r="D55" s="7" t="s">
        <v>89</v>
      </c>
      <c r="G55" s="10" t="s">
        <v>57</v>
      </c>
      <c r="H55" s="10" t="s">
        <v>62</v>
      </c>
    </row>
    <row r="56" ht="18.75">
      <c r="A56" s="7" t="str">
        <f ca="1">ModifyCode(G56)</f>
        <v>#NAME?</v>
      </c>
      <c r="B56" s="7" t="str">
        <f ca="1">ModifyCode(H56)</f>
        <v>#NAME?</v>
      </c>
      <c r="C56" s="7">
        <v>0.13600000000000001</v>
      </c>
      <c r="D56" s="7" t="s">
        <v>90</v>
      </c>
      <c r="G56" s="10" t="s">
        <v>62</v>
      </c>
      <c r="H56" s="10" t="s">
        <v>23</v>
      </c>
    </row>
    <row r="57" ht="18.75">
      <c r="A57" s="7" t="str">
        <f ca="1">ModifyCode(G57)</f>
        <v>#NAME?</v>
      </c>
      <c r="B57" s="7" t="str">
        <f ca="1">ModifyCode(H57)</f>
        <v>#NAME?</v>
      </c>
      <c r="C57" s="7">
        <v>1</v>
      </c>
      <c r="D57" s="7" t="s">
        <v>89</v>
      </c>
      <c r="G57" s="10" t="s">
        <v>57</v>
      </c>
      <c r="H57" s="10" t="s">
        <v>63</v>
      </c>
    </row>
    <row r="58" ht="18.75">
      <c r="A58" s="7" t="str">
        <f ca="1">ModifyCode(G58)</f>
        <v>#NAME?</v>
      </c>
      <c r="B58" s="7" t="str">
        <f ca="1">ModifyCode(H58)</f>
        <v>#NAME?</v>
      </c>
      <c r="C58" s="7">
        <v>0.13600000000000001</v>
      </c>
      <c r="D58" s="7" t="s">
        <v>90</v>
      </c>
      <c r="G58" s="10" t="s">
        <v>63</v>
      </c>
      <c r="H58" s="10" t="s">
        <v>20</v>
      </c>
    </row>
    <row r="59" ht="18.75">
      <c r="A59" s="7" t="str">
        <f ca="1">ModifyCode(G59)</f>
        <v>#NAME?</v>
      </c>
      <c r="B59" s="7" t="str">
        <f ca="1">ModifyCode(H59)</f>
        <v>#NAME?</v>
      </c>
      <c r="C59" s="7">
        <v>1</v>
      </c>
      <c r="D59" s="7" t="s">
        <v>89</v>
      </c>
      <c r="G59" s="10" t="s">
        <v>55</v>
      </c>
      <c r="H59" s="10" t="s">
        <v>64</v>
      </c>
    </row>
    <row r="60" ht="18.75">
      <c r="A60" s="7" t="str">
        <f ca="1">ModifyCode(G60)</f>
        <v>#NAME?</v>
      </c>
      <c r="B60" s="7" t="str">
        <f ca="1">ModifyCode(H60)</f>
        <v>#NAME?</v>
      </c>
      <c r="C60" s="7">
        <v>0.017000000000000001</v>
      </c>
      <c r="D60" s="7" t="s">
        <v>90</v>
      </c>
      <c r="G60" s="10" t="s">
        <v>64</v>
      </c>
      <c r="H60" s="10" t="s">
        <v>20</v>
      </c>
    </row>
    <row r="61" ht="18.75">
      <c r="A61" s="7" t="str">
        <f ca="1">ModifyCode(G61)</f>
        <v>#NAME?</v>
      </c>
      <c r="B61" s="7" t="str">
        <f ca="1">ModifyCode(H61)</f>
        <v>#NAME?</v>
      </c>
      <c r="C61" s="7">
        <v>1</v>
      </c>
      <c r="D61" s="7" t="s">
        <v>89</v>
      </c>
      <c r="G61" s="10" t="s">
        <v>55</v>
      </c>
      <c r="H61" s="10" t="s">
        <v>66</v>
      </c>
    </row>
    <row r="62" ht="18.75">
      <c r="A62" s="7" t="str">
        <f ca="1">ModifyCode(G62)</f>
        <v>#NAME?</v>
      </c>
      <c r="B62" s="7" t="str">
        <f ca="1">ModifyCode(H62)</f>
        <v>#NAME?</v>
      </c>
      <c r="C62" s="7">
        <v>0.017000000000000001</v>
      </c>
      <c r="D62" s="7" t="s">
        <v>90</v>
      </c>
      <c r="G62" s="10" t="s">
        <v>66</v>
      </c>
      <c r="H62" s="10" t="s">
        <v>20</v>
      </c>
    </row>
    <row r="63" ht="18.75">
      <c r="A63" s="7" t="str">
        <f ca="1">ModifyCode(G63)</f>
        <v>#NAME?</v>
      </c>
      <c r="B63" s="7" t="str">
        <f ca="1">ModifyCode(H63)</f>
        <v>#NAME?</v>
      </c>
      <c r="C63" s="7">
        <v>1</v>
      </c>
      <c r="D63" s="7" t="s">
        <v>89</v>
      </c>
      <c r="G63" s="10" t="s">
        <v>4</v>
      </c>
      <c r="H63" s="10" t="s">
        <v>67</v>
      </c>
    </row>
    <row r="64" ht="18.75">
      <c r="A64" s="7" t="str">
        <f ca="1">ModifyCode(G64)</f>
        <v>#NAME?</v>
      </c>
      <c r="B64" s="7" t="str">
        <f ca="1">ModifyCode(H64)</f>
        <v>#NAME?</v>
      </c>
      <c r="C64" s="7">
        <v>1</v>
      </c>
      <c r="D64" s="7" t="s">
        <v>89</v>
      </c>
      <c r="G64" s="10" t="s">
        <v>67</v>
      </c>
      <c r="H64" s="10" t="s">
        <v>69</v>
      </c>
    </row>
    <row r="65" ht="18.75">
      <c r="A65" s="7" t="str">
        <f ca="1">ModifyCode(G65)</f>
        <v>#NAME?</v>
      </c>
      <c r="B65" s="7" t="str">
        <f ca="1">ModifyCode(H65)</f>
        <v>#NAME?</v>
      </c>
      <c r="C65" s="7">
        <v>0.11600000000000001</v>
      </c>
      <c r="D65" s="7" t="s">
        <v>90</v>
      </c>
      <c r="G65" s="10" t="s">
        <v>69</v>
      </c>
      <c r="H65" s="10" t="s">
        <v>71</v>
      </c>
    </row>
    <row r="66" ht="18.75">
      <c r="A66" s="7" t="str">
        <f ca="1">ModifyCode(G66)</f>
        <v>#NAME?</v>
      </c>
      <c r="B66" s="7" t="str">
        <f ca="1">ModifyCode(H66)</f>
        <v>#NAME?</v>
      </c>
      <c r="C66" s="7">
        <v>1</v>
      </c>
      <c r="D66" s="7" t="s">
        <v>89</v>
      </c>
      <c r="G66" s="10" t="s">
        <v>67</v>
      </c>
      <c r="H66" s="10" t="s">
        <v>73</v>
      </c>
    </row>
    <row r="67" ht="18.75">
      <c r="A67" s="7" t="str">
        <f ca="1">ModifyCode(G67)</f>
        <v>#NAME?</v>
      </c>
      <c r="B67" s="7" t="str">
        <f ca="1">ModifyCode(H67)</f>
        <v>#NAME?</v>
      </c>
      <c r="C67" s="7">
        <v>0.115</v>
      </c>
      <c r="D67" s="7" t="s">
        <v>90</v>
      </c>
      <c r="G67" s="10" t="s">
        <v>73</v>
      </c>
      <c r="H67" s="10" t="s">
        <v>20</v>
      </c>
    </row>
    <row r="68" ht="18.75">
      <c r="A68" s="7" t="str">
        <f ca="1">ModifyCode(G68)</f>
        <v>#NAME?</v>
      </c>
      <c r="B68" s="7" t="str">
        <f ca="1">ModifyCode(H68)</f>
        <v>#NAME?</v>
      </c>
      <c r="C68" s="7">
        <v>1</v>
      </c>
      <c r="D68" s="7" t="s">
        <v>89</v>
      </c>
      <c r="G68" s="10" t="s">
        <v>67</v>
      </c>
      <c r="H68" s="10" t="s">
        <v>74</v>
      </c>
    </row>
    <row r="69" ht="18.75">
      <c r="A69" s="7" t="str">
        <f ca="1">ModifyCode(G69)</f>
        <v>#NAME?</v>
      </c>
      <c r="B69" s="7" t="str">
        <f ca="1">ModifyCode(H69)</f>
        <v>#NAME?</v>
      </c>
      <c r="C69" s="7">
        <v>0.115</v>
      </c>
      <c r="D69" s="7" t="s">
        <v>90</v>
      </c>
      <c r="G69" s="10" t="s">
        <v>74</v>
      </c>
      <c r="H69" s="10" t="s">
        <v>20</v>
      </c>
    </row>
    <row r="70" ht="18.75">
      <c r="A70" s="7" t="str">
        <f ca="1">ModifyCode(G70)</f>
        <v>#NAME?</v>
      </c>
      <c r="B70" s="7" t="str">
        <f ca="1">ModifyCode(H70)</f>
        <v>#NAME?</v>
      </c>
      <c r="C70" s="7">
        <v>1</v>
      </c>
      <c r="D70" s="7" t="s">
        <v>89</v>
      </c>
      <c r="G70" s="10" t="s">
        <v>67</v>
      </c>
      <c r="H70" s="10" t="s">
        <v>75</v>
      </c>
    </row>
    <row r="71" ht="18.75">
      <c r="A71" s="7" t="str">
        <f ca="1">ModifyCode(G71)</f>
        <v>#NAME?</v>
      </c>
      <c r="B71" s="7" t="str">
        <f ca="1">ModifyCode(H71)</f>
        <v>#NAME?</v>
      </c>
      <c r="C71" s="7">
        <v>0.01</v>
      </c>
      <c r="D71" s="7" t="s">
        <v>90</v>
      </c>
      <c r="G71" s="10" t="s">
        <v>75</v>
      </c>
      <c r="H71" s="10" t="s">
        <v>20</v>
      </c>
    </row>
    <row r="72" ht="18.75">
      <c r="A72" s="7" t="str">
        <f ca="1">ModifyCode(G72)</f>
        <v>#NAME?</v>
      </c>
      <c r="B72" s="7" t="str">
        <f ca="1">ModifyCode(H72)</f>
        <v>#NAME?</v>
      </c>
      <c r="C72" s="7">
        <v>1</v>
      </c>
      <c r="D72" s="7" t="s">
        <v>89</v>
      </c>
      <c r="G72" s="10" t="s">
        <v>67</v>
      </c>
      <c r="H72" s="10" t="s">
        <v>76</v>
      </c>
    </row>
    <row r="73" ht="18.75">
      <c r="A73" s="7" t="str">
        <f ca="1">ModifyCode(G73)</f>
        <v>#NAME?</v>
      </c>
      <c r="B73" s="7" t="str">
        <f ca="1">ModifyCode(H73)</f>
        <v>#NAME?</v>
      </c>
      <c r="C73" s="7">
        <v>0.01</v>
      </c>
      <c r="D73" s="7" t="s">
        <v>90</v>
      </c>
      <c r="G73" s="10" t="s">
        <v>76</v>
      </c>
      <c r="H73" s="10" t="s">
        <v>20</v>
      </c>
    </row>
    <row r="74" ht="18.75">
      <c r="A74" s="7" t="str">
        <f ca="1">ModifyCode(G74)</f>
        <v>#NAME?</v>
      </c>
      <c r="B74" s="7" t="str">
        <f ca="1">ModifyCode(H74)</f>
        <v>#NAME?</v>
      </c>
      <c r="C74" s="7">
        <v>20</v>
      </c>
      <c r="D74" s="7" t="s">
        <v>89</v>
      </c>
      <c r="G74" s="10" t="s">
        <v>4</v>
      </c>
      <c r="H74" s="10" t="s">
        <v>77</v>
      </c>
    </row>
    <row r="75" ht="18.75">
      <c r="A75" s="7" t="str">
        <f ca="1">ModifyCode(G75)</f>
        <v>#NAME?</v>
      </c>
      <c r="B75" s="7" t="str">
        <f ca="1">ModifyCode(H75)</f>
        <v>#NAME?</v>
      </c>
      <c r="C75" s="7">
        <v>8</v>
      </c>
      <c r="D75" s="7" t="s">
        <v>89</v>
      </c>
      <c r="G75" s="10" t="s">
        <v>4</v>
      </c>
      <c r="H75" s="10" t="s">
        <v>80</v>
      </c>
    </row>
    <row r="76" ht="18.75">
      <c r="A76" s="7" t="str">
        <f ca="1">ModifyCode(G76)</f>
        <v>#NAME?</v>
      </c>
      <c r="B76" s="7" t="str">
        <f ca="1">ModifyCode(H76)</f>
        <v>#NAME?</v>
      </c>
      <c r="C76" s="7">
        <v>20</v>
      </c>
      <c r="D76" s="7" t="s">
        <v>89</v>
      </c>
      <c r="G76" s="10" t="s">
        <v>4</v>
      </c>
      <c r="H76" s="10" t="s">
        <v>82</v>
      </c>
    </row>
    <row r="77" ht="18.75">
      <c r="A77" s="7" t="str">
        <f ca="1">ModifyCode(G77)</f>
        <v>#NAME?</v>
      </c>
      <c r="B77" s="7" t="str">
        <f ca="1">ModifyCode(H77)</f>
        <v>#NAME?</v>
      </c>
      <c r="C77" s="7">
        <v>4</v>
      </c>
      <c r="D77" s="7" t="s">
        <v>89</v>
      </c>
      <c r="G77" s="10" t="s">
        <v>4</v>
      </c>
      <c r="H77" s="10" t="s">
        <v>80</v>
      </c>
    </row>
  </sheetData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xl/worksheets/sheet3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3"/>
  <dimension ref="A1:AJ9"/>
  <sheetViews>
    <sheetView workbookViewId="0" topLeftCell="A1" zoomScaleNormal="100" zoomScaleSheetLayoutView="60" zoomScale="100" view="normal">
      <selection activeCell="D30" sqref="D30"/>
    </sheetView>
  </sheetViews>
  <sheetFormatPr defaultRowHeight="15"/>
  <cols>
    <col min="1" max="1" width="11.71094" customWidth="1"/>
    <col min="2" max="2" width="38.85547" customWidth="1"/>
    <col min="3" max="3" width="26.57031" customWidth="1"/>
    <col min="4" max="4" width="26" customWidth="1"/>
    <col min="5" max="5" width="15" customWidth="1"/>
    <col min="6" max="6" width="82.42578" customWidth="1"/>
    <col min="7" max="7" width="30.42578" customWidth="1"/>
    <col min="8" max="8" width="12.42578" customWidth="1"/>
    <col min="9" max="9" width="29.14063" customWidth="1"/>
    <col min="10" max="10" width="38.85547" customWidth="1"/>
    <col min="11" max="11" width="39.57031" customWidth="1"/>
    <col min="12" max="12" width="35" customWidth="1"/>
    <col min="13" max="13" width="34.28516" customWidth="1"/>
    <col min="14" max="14" width="33.57031" customWidth="1"/>
    <col min="15" max="15" width="34.85547" customWidth="1"/>
    <col min="16" max="16" width="19.42578" customWidth="1"/>
    <col min="17" max="19" width="8.425781" customWidth="1"/>
    <col min="20" max="20" width="9" customWidth="1"/>
    <col min="21" max="21" width="41.28516" customWidth="1"/>
    <col min="22" max="22" width="44" customWidth="1"/>
    <col min="23" max="24" width="32" customWidth="1"/>
    <col min="25" max="25" width="29.71094" customWidth="1"/>
    <col min="26" max="26" width="11.71094" customWidth="1"/>
    <col min="27" max="27" width="51.57031" customWidth="1"/>
    <col min="28" max="28" width="34.85547" customWidth="1"/>
    <col min="29" max="29" width="34.28516" customWidth="1"/>
    <col min="30" max="30" width="33.57031" customWidth="1"/>
    <col min="31" max="31" width="45.42578" customWidth="1"/>
    <col min="32" max="32" width="44.71094" customWidth="1"/>
    <col min="33" max="33" width="44.14063" customWidth="1"/>
    <col min="34" max="34" width="45.28516" customWidth="1"/>
    <col min="35" max="35" width="36.71094" customWidth="1"/>
  </cols>
  <sheetData>
    <row r="1" ht="15.75" customFormat="true" s="11">
      <c r="A1" s="12">
        <v>1</v>
      </c>
      <c r="B1" s="12">
        <f ca="1">A1 + 1</f>
        <v>2</v>
      </c>
      <c r="C1" s="12">
        <f ca="1">B1 + 1</f>
        <v>3</v>
      </c>
      <c r="D1" s="12">
        <f ca="1">C1 + 1</f>
        <v>4</v>
      </c>
      <c r="E1" s="12">
        <f ca="1">D1 + 1</f>
        <v>5</v>
      </c>
      <c r="F1" s="12">
        <f ca="1">E1 + 1</f>
        <v>6</v>
      </c>
      <c r="G1" s="12">
        <f ca="1">F1 + 1</f>
        <v>7</v>
      </c>
      <c r="H1" s="12">
        <f ca="1">G1 + 1</f>
        <v>8</v>
      </c>
      <c r="I1" s="12">
        <f ca="1">H1 + 1</f>
        <v>9</v>
      </c>
      <c r="J1" s="12">
        <f ca="1">I1 + 1</f>
        <v>10</v>
      </c>
      <c r="K1" s="12">
        <f ca="1">J1 + 1</f>
        <v>11</v>
      </c>
      <c r="L1" s="12">
        <f ca="1">K1 + 1</f>
        <v>12</v>
      </c>
      <c r="M1" s="12">
        <f ca="1">L1 + 1</f>
        <v>13</v>
      </c>
      <c r="N1" s="12">
        <f ca="1">M1 + 1</f>
        <v>14</v>
      </c>
      <c r="O1" s="12">
        <f ca="1">N1 + 1</f>
        <v>15</v>
      </c>
      <c r="P1" s="12">
        <f ca="1">O1 + 1</f>
        <v>16</v>
      </c>
      <c r="Q1" s="12">
        <f ca="1">P1 + 1</f>
        <v>17</v>
      </c>
      <c r="R1" s="12">
        <f ca="1">Q1 + 1</f>
        <v>18</v>
      </c>
      <c r="S1" s="12">
        <f ca="1">R1 + 1</f>
        <v>19</v>
      </c>
      <c r="T1" s="12">
        <f ca="1">S1 + 1</f>
        <v>20</v>
      </c>
      <c r="U1" s="12">
        <f ca="1">T1 + 1</f>
        <v>21</v>
      </c>
      <c r="V1" s="12">
        <f ca="1">U1 + 1</f>
        <v>22</v>
      </c>
      <c r="W1" s="12">
        <f ca="1">V1 + 1</f>
        <v>23</v>
      </c>
      <c r="X1" s="12">
        <f ca="1">W1 + 1</f>
        <v>24</v>
      </c>
      <c r="Y1" s="12">
        <f ca="1">X1 + 1</f>
        <v>25</v>
      </c>
      <c r="Z1" s="12">
        <v>26</v>
      </c>
    </row>
    <row r="2" ht="15.75" customFormat="true" s="11">
      <c r="A2" s="13" t="s">
        <v>91</v>
      </c>
      <c r="B2" s="13"/>
      <c r="C2" s="14"/>
      <c r="D2" s="14"/>
      <c r="E2" s="13"/>
      <c r="F2" s="13"/>
      <c r="G2" s="15"/>
      <c r="H2" s="13"/>
      <c r="I2" s="14"/>
      <c r="J2" s="14"/>
      <c r="K2" s="14"/>
      <c r="L2" s="16" t="s">
        <v>92</v>
      </c>
      <c r="M2" s="16"/>
      <c r="N2" s="16"/>
      <c r="O2" s="16"/>
      <c r="P2" s="17" t="s">
        <v>93</v>
      </c>
      <c r="Q2" s="17"/>
      <c r="R2" s="17"/>
      <c r="S2" s="17"/>
      <c r="T2" s="18"/>
      <c r="U2" s="19" t="s">
        <v>94</v>
      </c>
      <c r="V2" s="20"/>
      <c r="W2" s="21"/>
      <c r="X2" s="22"/>
      <c r="Y2" s="23"/>
      <c r="Z2" s="23"/>
      <c r="AA2" s="24" t="s">
        <v>95</v>
      </c>
      <c r="AB2" s="25"/>
      <c r="AC2" s="25"/>
      <c r="AD2" s="25"/>
      <c r="AE2" s="25"/>
      <c r="AF2" s="25"/>
      <c r="AG2" s="25"/>
      <c r="AH2" s="25"/>
      <c r="AI2" s="26"/>
    </row>
    <row r="3" ht="15.75" customFormat="true" s="1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87</v>
      </c>
      <c r="F3" s="27" t="s">
        <v>100</v>
      </c>
      <c r="G3" s="27" t="s">
        <v>101</v>
      </c>
      <c r="H3" s="27" t="s">
        <v>102</v>
      </c>
      <c r="I3" s="27" t="s">
        <v>103</v>
      </c>
      <c r="J3" s="27" t="s">
        <v>104</v>
      </c>
      <c r="K3" s="27" t="s">
        <v>105</v>
      </c>
      <c r="L3" s="28" t="s">
        <v>106</v>
      </c>
      <c r="M3" s="28" t="s">
        <v>107</v>
      </c>
      <c r="N3" s="28" t="s">
        <v>108</v>
      </c>
      <c r="O3" s="28" t="s">
        <v>109</v>
      </c>
      <c r="P3" s="27" t="s">
        <v>106</v>
      </c>
      <c r="Q3" s="27" t="s">
        <v>107</v>
      </c>
      <c r="R3" s="27" t="s">
        <v>108</v>
      </c>
      <c r="S3" s="27" t="s">
        <v>109</v>
      </c>
      <c r="T3" s="29" t="s">
        <v>110</v>
      </c>
      <c r="U3" s="30" t="s">
        <v>111</v>
      </c>
      <c r="V3" s="31" t="s">
        <v>112</v>
      </c>
      <c r="W3" s="31" t="s">
        <v>113</v>
      </c>
      <c r="X3" s="31" t="s">
        <v>114</v>
      </c>
      <c r="Y3" s="32" t="s">
        <v>115</v>
      </c>
      <c r="Z3" s="32" t="s">
        <v>116</v>
      </c>
      <c r="AA3" s="33" t="s">
        <v>106</v>
      </c>
      <c r="AB3" s="33" t="s">
        <v>109</v>
      </c>
      <c r="AC3" s="33" t="s">
        <v>107</v>
      </c>
      <c r="AD3" s="34" t="s">
        <v>108</v>
      </c>
      <c r="AE3" s="31" t="s">
        <v>106</v>
      </c>
      <c r="AF3" s="31" t="s">
        <v>107</v>
      </c>
      <c r="AG3" s="31" t="s">
        <v>108</v>
      </c>
      <c r="AH3" s="31" t="s">
        <v>109</v>
      </c>
      <c r="AI3" s="31" t="s">
        <v>110</v>
      </c>
      <c r="AJ3"/>
    </row>
    <row r="4" customFormat="true" s="11">
      <c r="AJ4"/>
    </row>
    <row r="5" customFormat="true" s="11">
      <c r="A5" s="35" t="s">
        <v>67</v>
      </c>
      <c r="B5" s="35" t="s">
        <v>71</v>
      </c>
      <c r="C5" s="35">
        <v>386</v>
      </c>
      <c r="D5" s="35">
        <v>299</v>
      </c>
      <c r="E5" s="36">
        <v>1</v>
      </c>
      <c r="F5" s="36" t="str">
        <f ca="1">CONCATENATE(C5, "x", D5, "x", I5)</f>
        <v>386x299x26</v>
      </c>
      <c r="G5" s="37" t="s">
        <v>4</v>
      </c>
      <c r="H5" s="35" t="s">
        <v>68</v>
      </c>
      <c r="I5" s="35">
        <v>26</v>
      </c>
      <c r="J5" s="35"/>
      <c r="K5" s="35"/>
      <c r="L5" s="35" t="str">
        <f ca="1">IF(ISBLANK(AA5), "-", AA5)</f>
        <v>Veneer Veneer</v>
      </c>
      <c r="M5" s="35" t="str">
        <f ca="1">IF(ISBLANK(AC5), "-", AC5)</f>
        <v>Veneer Veneer</v>
      </c>
      <c r="N5" s="35" t="str">
        <f ca="1">IF(ISBLANK(AD5), "-", AD5)</f>
        <v>-</v>
      </c>
      <c r="O5" s="35" t="str">
        <f ca="1">IF(ISBLANK(AB5), "-", AB5)</f>
        <v>-</v>
      </c>
      <c r="P5" s="35">
        <f ca="1">IF(ISBLANK(AE5), "-", ROUND(AE5, 0))</f>
        <v>1</v>
      </c>
      <c r="Q5" s="35">
        <f ca="1">IF(ISBLANK(AF5), "-", ROUND(AF5, 0))</f>
        <v>1</v>
      </c>
      <c r="R5" s="35" t="str">
        <f ca="1">IF(ISBLANK(AG5), "-", ROUND(AG5, 0))</f>
        <v>-</v>
      </c>
      <c r="S5" s="35" t="str">
        <f ca="1">IF(ISBLANK(AH5), "-", ROUND(AH5, 0))</f>
        <v>-</v>
      </c>
      <c r="T5" s="35">
        <f ca="1">IF(AI5, 1, 0)</f>
        <v>0</v>
      </c>
      <c r="U5" s="38"/>
      <c r="V5" s="38"/>
      <c r="W5" s="38"/>
      <c r="X5" s="38"/>
      <c r="Y5" s="38"/>
      <c r="Z5" s="38" t="str">
        <f ca="1">InverseAxis(U5, V5)</f>
        <v>#NAME?</v>
      </c>
      <c r="AA5" s="35" t="s">
        <v>117</v>
      </c>
      <c r="AB5" s="35"/>
      <c r="AC5" s="35" t="s">
        <v>117</v>
      </c>
      <c r="AD5" s="35"/>
      <c r="AE5" s="35">
        <v>0.5</v>
      </c>
      <c r="AF5" s="35">
        <v>0.5</v>
      </c>
      <c r="AG5" s="35"/>
      <c r="AH5" s="35"/>
      <c r="AI5" s="35" t="b">
        <v>0</v>
      </c>
      <c r="AJ5"/>
    </row>
    <row r="6" customFormat="true" s="11">
      <c r="A6" s="35" t="s">
        <v>8</v>
      </c>
      <c r="B6" s="35" t="s">
        <v>14</v>
      </c>
      <c r="C6" s="35">
        <v>497</v>
      </c>
      <c r="D6" s="35">
        <v>300</v>
      </c>
      <c r="E6" s="36">
        <v>1</v>
      </c>
      <c r="F6" s="36" t="str">
        <f ca="1">CONCATENATE(C6, "x", D6, "x", I6)</f>
        <v>497x300x37</v>
      </c>
      <c r="G6" s="37" t="s">
        <v>4</v>
      </c>
      <c r="H6" s="35" t="s">
        <v>9</v>
      </c>
      <c r="I6" s="35">
        <v>37</v>
      </c>
      <c r="J6" s="35"/>
      <c r="K6" s="35"/>
      <c r="L6" s="35" t="str">
        <f ca="1">IF(ISBLANK(AA6), "-", AA6)</f>
        <v>Veneer Veneer</v>
      </c>
      <c r="M6" s="35" t="str">
        <f ca="1">IF(ISBLANK(AC6), "-", AC6)</f>
        <v>Veneer Veneer</v>
      </c>
      <c r="N6" s="35" t="str">
        <f ca="1">IF(ISBLANK(AD6), "-", AD6)</f>
        <v>-</v>
      </c>
      <c r="O6" s="35" t="str">
        <f ca="1">IF(ISBLANK(AB6), "-", AB6)</f>
        <v>-</v>
      </c>
      <c r="P6" s="35">
        <f ca="1">IF(ISBLANK(AE6), "-", ROUND(AE6, 0))</f>
        <v>1</v>
      </c>
      <c r="Q6" s="35">
        <f ca="1">IF(ISBLANK(AF6), "-", ROUND(AF6, 0))</f>
        <v>1</v>
      </c>
      <c r="R6" s="35" t="str">
        <f ca="1">IF(ISBLANK(AG6), "-", ROUND(AG6, 0))</f>
        <v>-</v>
      </c>
      <c r="S6" s="35" t="str">
        <f ca="1">IF(ISBLANK(AH6), "-", ROUND(AH6, 0))</f>
        <v>-</v>
      </c>
      <c r="T6" s="35">
        <f ca="1">IF(AI6, 1, 0)</f>
        <v>1</v>
      </c>
      <c r="U6" s="38"/>
      <c r="V6" s="38"/>
      <c r="W6" s="38"/>
      <c r="X6" s="38"/>
      <c r="Y6" s="38"/>
      <c r="Z6" s="38" t="str">
        <f ca="1">InverseAxis(U6, V6)</f>
        <v>#NAME?</v>
      </c>
      <c r="AA6" s="35" t="s">
        <v>117</v>
      </c>
      <c r="AB6" s="35"/>
      <c r="AC6" s="35" t="s">
        <v>117</v>
      </c>
      <c r="AD6" s="35"/>
      <c r="AE6" s="35">
        <v>0.5</v>
      </c>
      <c r="AF6" s="35">
        <v>0.5</v>
      </c>
      <c r="AG6" s="35"/>
      <c r="AH6" s="35"/>
      <c r="AI6" s="35" t="b">
        <v>1</v>
      </c>
      <c r="AJ6"/>
    </row>
    <row r="7" customFormat="true" s="11">
      <c r="A7" s="35" t="s">
        <v>31</v>
      </c>
      <c r="B7" s="35" t="s">
        <v>14</v>
      </c>
      <c r="C7" s="35">
        <v>710</v>
      </c>
      <c r="D7" s="35">
        <v>300</v>
      </c>
      <c r="E7" s="36">
        <v>1</v>
      </c>
      <c r="F7" s="36" t="str">
        <f ca="1">CONCATENATE(C7, "x", D7, "x", I7)</f>
        <v>710x300x37</v>
      </c>
      <c r="G7" s="37" t="s">
        <v>4</v>
      </c>
      <c r="H7" s="35" t="s">
        <v>32</v>
      </c>
      <c r="I7" s="35">
        <v>37</v>
      </c>
      <c r="J7" s="35"/>
      <c r="K7" s="35"/>
      <c r="L7" s="35" t="str">
        <f ca="1">IF(ISBLANK(AA7), "-", AA7)</f>
        <v>Veneer Veneer</v>
      </c>
      <c r="M7" s="35" t="str">
        <f ca="1">IF(ISBLANK(AC7), "-", AC7)</f>
        <v>Veneer Veneer</v>
      </c>
      <c r="N7" s="35" t="str">
        <f ca="1">IF(ISBLANK(AD7), "-", AD7)</f>
        <v>-</v>
      </c>
      <c r="O7" s="35" t="str">
        <f ca="1">IF(ISBLANK(AB7), "-", AB7)</f>
        <v>-</v>
      </c>
      <c r="P7" s="35">
        <f ca="1">IF(ISBLANK(AE7), "-", ROUND(AE7, 0))</f>
        <v>1</v>
      </c>
      <c r="Q7" s="35">
        <f ca="1">IF(ISBLANK(AF7), "-", ROUND(AF7, 0))</f>
        <v>1</v>
      </c>
      <c r="R7" s="35" t="str">
        <f ca="1">IF(ISBLANK(AG7), "-", ROUND(AG7, 0))</f>
        <v>-</v>
      </c>
      <c r="S7" s="35" t="str">
        <f ca="1">IF(ISBLANK(AH7), "-", ROUND(AH7, 0))</f>
        <v>-</v>
      </c>
      <c r="T7" s="35">
        <f ca="1">IF(AI7, 1, 0)</f>
        <v>1</v>
      </c>
      <c r="U7" s="38">
        <v>6</v>
      </c>
      <c r="V7" s="38"/>
      <c r="W7" s="38"/>
      <c r="X7" s="38"/>
      <c r="Y7" s="38">
        <v>1</v>
      </c>
      <c r="Z7" s="38" t="str">
        <f ca="1">InverseAxis(U7, V7)</f>
        <v>#NAME?</v>
      </c>
      <c r="AA7" s="35" t="s">
        <v>117</v>
      </c>
      <c r="AB7" s="35"/>
      <c r="AC7" s="35" t="s">
        <v>117</v>
      </c>
      <c r="AD7" s="35"/>
      <c r="AE7" s="35">
        <v>0.5</v>
      </c>
      <c r="AF7" s="35">
        <v>0.5</v>
      </c>
      <c r="AG7" s="35"/>
      <c r="AH7" s="35"/>
      <c r="AI7" s="35" t="b">
        <v>1</v>
      </c>
      <c r="AJ7"/>
    </row>
    <row r="8" customFormat="true" s="11">
      <c r="A8" s="35" t="s">
        <v>43</v>
      </c>
      <c r="B8" s="35" t="s">
        <v>14</v>
      </c>
      <c r="C8" s="35">
        <v>453</v>
      </c>
      <c r="D8" s="35">
        <v>300</v>
      </c>
      <c r="E8" s="36">
        <v>1</v>
      </c>
      <c r="F8" s="36" t="str">
        <f ca="1">CONCATENATE(C8, "x", D8, "x", I8)</f>
        <v>453x300x37</v>
      </c>
      <c r="G8" s="37" t="s">
        <v>4</v>
      </c>
      <c r="H8" s="35" t="s">
        <v>44</v>
      </c>
      <c r="I8" s="35">
        <v>37</v>
      </c>
      <c r="J8" s="35"/>
      <c r="K8" s="35"/>
      <c r="L8" s="35" t="str">
        <f ca="1">IF(ISBLANK(AA8), "-", AA8)</f>
        <v>Veneer Veneer</v>
      </c>
      <c r="M8" s="35" t="str">
        <f ca="1">IF(ISBLANK(AC8), "-", AC8)</f>
        <v>Veneer Veneer</v>
      </c>
      <c r="N8" s="35" t="str">
        <f ca="1">IF(ISBLANK(AD8), "-", AD8)</f>
        <v>-</v>
      </c>
      <c r="O8" s="35" t="str">
        <f ca="1">IF(ISBLANK(AB8), "-", AB8)</f>
        <v>-</v>
      </c>
      <c r="P8" s="35">
        <f ca="1">IF(ISBLANK(AE8), "-", ROUND(AE8, 0))</f>
        <v>1</v>
      </c>
      <c r="Q8" s="35">
        <f ca="1">IF(ISBLANK(AF8), "-", ROUND(AF8, 0))</f>
        <v>1</v>
      </c>
      <c r="R8" s="35" t="str">
        <f ca="1">IF(ISBLANK(AG8), "-", ROUND(AG8, 0))</f>
        <v>-</v>
      </c>
      <c r="S8" s="35" t="str">
        <f ca="1">IF(ISBLANK(AH8), "-", ROUND(AH8, 0))</f>
        <v>-</v>
      </c>
      <c r="T8" s="35">
        <f ca="1">IF(AI8, 1, 0)</f>
        <v>1</v>
      </c>
      <c r="U8" s="38"/>
      <c r="V8" s="38"/>
      <c r="W8" s="38"/>
      <c r="X8" s="38"/>
      <c r="Y8" s="38"/>
      <c r="Z8" s="38" t="str">
        <f ca="1">InverseAxis(U8, V8)</f>
        <v>#NAME?</v>
      </c>
      <c r="AA8" s="35" t="s">
        <v>117</v>
      </c>
      <c r="AB8" s="35"/>
      <c r="AC8" s="35" t="s">
        <v>117</v>
      </c>
      <c r="AD8" s="35"/>
      <c r="AE8" s="35">
        <v>0.5</v>
      </c>
      <c r="AF8" s="35">
        <v>0.5</v>
      </c>
      <c r="AG8" s="35"/>
      <c r="AH8" s="35"/>
      <c r="AI8" s="35" t="b">
        <v>1</v>
      </c>
      <c r="AJ8"/>
    </row>
    <row r="9" customFormat="true" s="11">
      <c r="A9" s="35" t="s">
        <v>55</v>
      </c>
      <c r="B9" s="35" t="s">
        <v>14</v>
      </c>
      <c r="C9" s="35">
        <v>452</v>
      </c>
      <c r="D9" s="35">
        <v>300</v>
      </c>
      <c r="E9" s="36">
        <v>1</v>
      </c>
      <c r="F9" s="36" t="str">
        <f ca="1">CONCATENATE(C9, "x", D9, "x", I9)</f>
        <v>452x300x37</v>
      </c>
      <c r="G9" s="37" t="s">
        <v>4</v>
      </c>
      <c r="H9" s="35" t="s">
        <v>56</v>
      </c>
      <c r="I9" s="35">
        <v>37</v>
      </c>
      <c r="J9" s="35"/>
      <c r="K9" s="35"/>
      <c r="L9" s="35" t="str">
        <f ca="1">IF(ISBLANK(AA9), "-", AA9)</f>
        <v>Veneer Veneer</v>
      </c>
      <c r="M9" s="35" t="str">
        <f ca="1">IF(ISBLANK(AC9), "-", AC9)</f>
        <v>Veneer Veneer</v>
      </c>
      <c r="N9" s="35" t="str">
        <f ca="1">IF(ISBLANK(AD9), "-", AD9)</f>
        <v>-</v>
      </c>
      <c r="O9" s="35" t="str">
        <f ca="1">IF(ISBLANK(AB9), "-", AB9)</f>
        <v>-</v>
      </c>
      <c r="P9" s="35">
        <f ca="1">IF(ISBLANK(AE9), "-", ROUND(AE9, 0))</f>
        <v>1</v>
      </c>
      <c r="Q9" s="35">
        <f ca="1">IF(ISBLANK(AF9), "-", ROUND(AF9, 0))</f>
        <v>1</v>
      </c>
      <c r="R9" s="35" t="str">
        <f ca="1">IF(ISBLANK(AG9), "-", ROUND(AG9, 0))</f>
        <v>-</v>
      </c>
      <c r="S9" s="35" t="str">
        <f ca="1">IF(ISBLANK(AH9), "-", ROUND(AH9, 0))</f>
        <v>-</v>
      </c>
      <c r="T9" s="35">
        <f ca="1">IF(AI9, 1, 0)</f>
        <v>1</v>
      </c>
      <c r="U9" s="38"/>
      <c r="V9" s="38"/>
      <c r="W9" s="38"/>
      <c r="X9" s="38"/>
      <c r="Y9" s="38"/>
      <c r="Z9" s="38" t="str">
        <f ca="1">InverseAxis(U9, V9)</f>
        <v>#NAME?</v>
      </c>
      <c r="AA9" s="35" t="s">
        <v>117</v>
      </c>
      <c r="AB9" s="35"/>
      <c r="AC9" s="35" t="s">
        <v>117</v>
      </c>
      <c r="AD9" s="35"/>
      <c r="AE9" s="35">
        <v>0.5</v>
      </c>
      <c r="AF9" s="35">
        <v>0.5</v>
      </c>
      <c r="AG9" s="35"/>
      <c r="AH9" s="35"/>
      <c r="AI9" s="35" t="b">
        <v>1</v>
      </c>
      <c r="AJ9"/>
    </row>
  </sheetData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4"/>
  <dimension ref="A1:K20"/>
  <sheetViews>
    <sheetView workbookViewId="0" topLeftCell="A1" zoomScaleNormal="100" zoomScaleSheetLayoutView="60" zoomScale="100" view="normal">
      <selection activeCell="C23" sqref="C23"/>
    </sheetView>
  </sheetViews>
  <sheetFormatPr defaultRowHeight="15" outlineLevelRow="1"/>
  <cols>
    <col min="1" max="1" width="26.28516" customWidth="1"/>
    <col min="2" max="2" width="34" customWidth="1"/>
    <col min="3" max="3" width="17.14063" customWidth="1"/>
    <col min="4" max="4" width="16.42578" customWidth="1"/>
    <col min="5" max="5" width="20.57031" customWidth="1"/>
    <col min="6" max="6" width="19.57031" customWidth="1"/>
    <col min="7" max="7" width="43.14063" customWidth="1"/>
    <col min="8" max="8" width="44.14063" customWidth="1"/>
    <col min="9" max="9" width="50" customWidth="1"/>
    <col min="10" max="10" width="51.14063" customWidth="1"/>
    <col min="11" max="11" width="34.71094" customWidth="1"/>
  </cols>
  <sheetData>
    <row r="1" ht="21.75" customFormat="true" s="11">
      <c r="A1" s="39" t="s">
        <v>118</v>
      </c>
      <c r="B1" s="39"/>
    </row>
    <row r="2" customFormat="true" s="11">
      <c r="A2" s="40" t="s">
        <v>119</v>
      </c>
      <c r="B2" s="41" t="s">
        <v>4</v>
      </c>
    </row>
    <row r="3" customFormat="true" s="11">
      <c r="A3" s="40" t="s">
        <v>120</v>
      </c>
      <c r="B3" s="42" t="s">
        <v>5</v>
      </c>
    </row>
    <row r="4" customFormat="true" s="11">
      <c r="A4" s="40" t="s">
        <v>121</v>
      </c>
      <c r="B4" s="42"/>
    </row>
    <row r="5" customFormat="true" s="11">
      <c r="A5" s="40" t="s">
        <v>122</v>
      </c>
      <c r="B5" s="42"/>
    </row>
    <row r="6" customFormat="true" s="11">
      <c r="A6" s="40" t="s">
        <v>123</v>
      </c>
      <c r="B6" s="42"/>
    </row>
    <row r="7" customFormat="true" s="11">
      <c r="A7" s="40" t="s">
        <v>124</v>
      </c>
      <c r="B7" s="43">
        <v>44435.394881446766</v>
      </c>
      <c r="C7" s="44"/>
    </row>
    <row r="8" customFormat="true" s="11">
      <c r="B8" s="42"/>
    </row>
    <row r="9" customFormat="true" s="45">
      <c r="A9" s="46" t="s">
        <v>91</v>
      </c>
      <c r="B9" s="46"/>
      <c r="C9" s="46"/>
      <c r="D9" s="46"/>
      <c r="E9" s="46"/>
      <c r="F9" s="46"/>
      <c r="G9" s="46" t="s">
        <v>97</v>
      </c>
      <c r="H9" s="46"/>
      <c r="I9" s="46" t="s">
        <v>125</v>
      </c>
      <c r="J9" s="46"/>
    </row>
    <row r="10" customFormat="true" s="45">
      <c r="A10" s="47" t="s">
        <v>126</v>
      </c>
      <c r="B10" s="47" t="s">
        <v>127</v>
      </c>
      <c r="C10" s="47" t="s">
        <v>98</v>
      </c>
      <c r="D10" s="47" t="s">
        <v>99</v>
      </c>
      <c r="E10" s="47" t="s">
        <v>103</v>
      </c>
      <c r="F10" s="47" t="s">
        <v>87</v>
      </c>
      <c r="G10" s="47" t="s">
        <v>126</v>
      </c>
      <c r="H10" s="47" t="s">
        <v>127</v>
      </c>
      <c r="I10" s="47" t="s">
        <v>126</v>
      </c>
      <c r="J10" s="47" t="s">
        <v>127</v>
      </c>
    </row>
    <row r="11" ht="18.75" customFormat="true" s="48">
      <c r="A11" s="49" t="s">
        <v>4</v>
      </c>
      <c r="B11" s="49" t="s">
        <v>5</v>
      </c>
      <c r="C11" s="50"/>
      <c r="D11" s="50"/>
      <c r="E11" s="50"/>
      <c r="F11" s="50">
        <v>1</v>
      </c>
      <c r="G11" s="51"/>
      <c r="H11" s="51"/>
      <c r="I11" s="51"/>
      <c r="J11" s="51"/>
      <c r="K11" s="48"/>
    </row>
    <row r="12" ht="15.75" outlineLevel="1" customFormat="true" s="11">
      <c r="A12" s="52" t="s">
        <v>8</v>
      </c>
      <c r="B12" s="53" t="s">
        <v>9</v>
      </c>
      <c r="C12" s="54">
        <v>497</v>
      </c>
      <c r="D12" s="54">
        <v>301</v>
      </c>
      <c r="E12" s="54">
        <v>37</v>
      </c>
      <c r="F12" s="54">
        <v>1</v>
      </c>
      <c r="G12" s="55" t="s">
        <v>14</v>
      </c>
      <c r="H12" s="55" t="s">
        <v>15</v>
      </c>
      <c r="I12" s="55"/>
      <c r="J12" s="55"/>
      <c r="K12" s="11" t="s">
        <v>128</v>
      </c>
    </row>
    <row r="13" ht="15.75" outlineLevel="1" customFormat="true" s="11">
      <c r="A13" s="52" t="s">
        <v>31</v>
      </c>
      <c r="B13" s="53" t="s">
        <v>32</v>
      </c>
      <c r="C13" s="54">
        <v>710</v>
      </c>
      <c r="D13" s="54">
        <v>301</v>
      </c>
      <c r="E13" s="54">
        <v>37</v>
      </c>
      <c r="F13" s="54">
        <v>1</v>
      </c>
      <c r="G13" s="55" t="s">
        <v>14</v>
      </c>
      <c r="H13" s="55" t="s">
        <v>15</v>
      </c>
      <c r="I13" s="55"/>
      <c r="J13" s="55"/>
      <c r="K13" s="11" t="s">
        <v>129</v>
      </c>
    </row>
    <row r="14" ht="15.75" outlineLevel="1" customFormat="true" s="11">
      <c r="A14" s="52" t="s">
        <v>43</v>
      </c>
      <c r="B14" s="53" t="s">
        <v>44</v>
      </c>
      <c r="C14" s="54">
        <v>453</v>
      </c>
      <c r="D14" s="54">
        <v>301</v>
      </c>
      <c r="E14" s="54">
        <v>37</v>
      </c>
      <c r="F14" s="54">
        <v>1</v>
      </c>
      <c r="G14" s="55" t="s">
        <v>14</v>
      </c>
      <c r="H14" s="55" t="s">
        <v>15</v>
      </c>
      <c r="I14" s="55"/>
      <c r="J14" s="55"/>
      <c r="K14" s="11" t="s">
        <v>130</v>
      </c>
    </row>
    <row r="15" ht="15.75" outlineLevel="1" customFormat="true" s="11">
      <c r="A15" s="52" t="s">
        <v>55</v>
      </c>
      <c r="B15" s="53" t="s">
        <v>56</v>
      </c>
      <c r="C15" s="54">
        <v>452</v>
      </c>
      <c r="D15" s="54">
        <v>301</v>
      </c>
      <c r="E15" s="54">
        <v>37</v>
      </c>
      <c r="F15" s="54">
        <v>1</v>
      </c>
      <c r="G15" s="55" t="s">
        <v>14</v>
      </c>
      <c r="H15" s="55" t="s">
        <v>15</v>
      </c>
      <c r="I15" s="55"/>
      <c r="J15" s="55"/>
      <c r="K15" s="11" t="s">
        <v>131</v>
      </c>
    </row>
    <row r="16" ht="15.75" outlineLevel="1" customFormat="true" s="11">
      <c r="A16" s="52" t="s">
        <v>67</v>
      </c>
      <c r="B16" s="53" t="s">
        <v>68</v>
      </c>
      <c r="C16" s="54">
        <v>386</v>
      </c>
      <c r="D16" s="54">
        <v>300</v>
      </c>
      <c r="E16" s="54">
        <v>27</v>
      </c>
      <c r="F16" s="54">
        <v>1</v>
      </c>
      <c r="G16" s="55" t="s">
        <v>71</v>
      </c>
      <c r="H16" s="55" t="s">
        <v>72</v>
      </c>
      <c r="I16" s="55"/>
      <c r="J16" s="55"/>
      <c r="K16" s="11" t="s">
        <v>132</v>
      </c>
    </row>
    <row r="17" ht="15.75" outlineLevel="1" customFormat="true" s="11">
      <c r="A17" s="52" t="s">
        <v>77</v>
      </c>
      <c r="B17" s="53" t="s">
        <v>78</v>
      </c>
      <c r="C17" s="54"/>
      <c r="D17" s="54"/>
      <c r="E17" s="54"/>
      <c r="F17" s="54">
        <v>20</v>
      </c>
      <c r="G17" s="55"/>
      <c r="H17" s="55"/>
      <c r="I17" s="55"/>
      <c r="J17" s="55"/>
      <c r="K17" s="11"/>
    </row>
    <row r="18" ht="15.75" outlineLevel="1" customFormat="true" s="11">
      <c r="A18" s="52" t="s">
        <v>80</v>
      </c>
      <c r="B18" s="53" t="s">
        <v>81</v>
      </c>
      <c r="C18" s="54"/>
      <c r="D18" s="54"/>
      <c r="E18" s="54"/>
      <c r="F18" s="54">
        <v>8</v>
      </c>
      <c r="G18" s="55"/>
      <c r="H18" s="55"/>
      <c r="I18" s="55"/>
      <c r="J18" s="55"/>
      <c r="K18" s="11"/>
    </row>
    <row r="19" ht="15.75" outlineLevel="1" customFormat="true" s="11">
      <c r="A19" s="52" t="s">
        <v>82</v>
      </c>
      <c r="B19" s="53" t="s">
        <v>83</v>
      </c>
      <c r="C19" s="54"/>
      <c r="D19" s="54"/>
      <c r="E19" s="54"/>
      <c r="F19" s="54">
        <v>20</v>
      </c>
      <c r="G19" s="55"/>
      <c r="H19" s="55"/>
      <c r="I19" s="55"/>
      <c r="J19" s="55"/>
      <c r="K19" s="11"/>
    </row>
    <row r="20" ht="15.75" outlineLevel="1" customFormat="true" s="11">
      <c r="A20" s="52" t="s">
        <v>80</v>
      </c>
      <c r="B20" s="53" t="s">
        <v>84</v>
      </c>
      <c r="C20" s="54"/>
      <c r="D20" s="54"/>
      <c r="E20" s="54"/>
      <c r="F20" s="54">
        <v>4</v>
      </c>
      <c r="G20" s="55"/>
      <c r="H20" s="55"/>
      <c r="I20" s="55"/>
      <c r="J20" s="55"/>
      <c r="K20" s="11"/>
    </row>
  </sheetData>
  <mergeCells count="5">
    <mergeCell ref="A1:B1"/>
    <mergeCell ref="B7:C7"/>
    <mergeCell ref="A9:F9"/>
    <mergeCell ref="G9:H9"/>
    <mergeCell ref="I9:J9"/>
  </mergeCells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xl/worksheets/sheet5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5"/>
  <dimension ref="A1:XFD26"/>
  <sheetViews>
    <sheetView workbookViewId="0" topLeftCell="A1" zoomScaleNormal="100" zoomScaleSheetLayoutView="60" zoomScale="100" view="normal">
      <selection activeCell="D28" sqref="D28"/>
    </sheetView>
  </sheetViews>
  <sheetFormatPr defaultRowHeight="15"/>
  <cols>
    <col min="1" max="1" width="26.28516" customWidth="1" style="11"/>
    <col min="2" max="2" width="34" customWidth="1" style="11"/>
    <col min="3" max="3" width="33.28516" customWidth="1" style="11"/>
    <col min="4" max="4" width="34.14063" customWidth="1" style="11"/>
    <col min="5" max="5" width="38.85547" customWidth="1" style="11"/>
    <col min="6" max="6" width="39.57031" customWidth="1" style="11"/>
    <col min="7" max="7" width="19.42578" customWidth="1" style="11"/>
    <col min="8" max="8" width="13.28516" customWidth="1" style="11"/>
    <col min="9" max="9" width="12.57031" customWidth="1" style="11"/>
    <col min="10" max="10" width="15.85547" customWidth="1" style="11"/>
    <col min="11" max="255" width="9.140625" customWidth="1" style="11"/>
    <col min="256" max="256" width="22.71094" customWidth="1" style="11"/>
    <col min="257" max="257" width="26.28516" customWidth="1" style="11"/>
    <col min="258" max="258" width="34" customWidth="1" style="11"/>
    <col min="259" max="259" width="33.28516" customWidth="1" style="11"/>
    <col min="260" max="260" width="34.14063" customWidth="1" style="11"/>
    <col min="261" max="261" width="38.85547" customWidth="1" style="11"/>
    <col min="262" max="262" width="39.57031" customWidth="1" style="11"/>
    <col min="263" max="263" width="19.42578" customWidth="1" style="11"/>
    <col min="264" max="264" width="13.28516" customWidth="1" style="11"/>
    <col min="265" max="265" width="12.57031" customWidth="1" style="11"/>
    <col min="266" max="266" width="15.85547" customWidth="1" style="11"/>
    <col min="267" max="511" width="9.140625" customWidth="1" style="11"/>
    <col min="512" max="512" width="22.71094" customWidth="1" style="11"/>
    <col min="513" max="513" width="26.28516" customWidth="1" style="11"/>
    <col min="514" max="514" width="34" customWidth="1" style="11"/>
    <col min="515" max="515" width="33.28516" customWidth="1" style="11"/>
    <col min="516" max="516" width="34.14063" customWidth="1" style="11"/>
    <col min="517" max="517" width="38.85547" customWidth="1" style="11"/>
    <col min="518" max="518" width="39.57031" customWidth="1" style="11"/>
    <col min="519" max="519" width="19.42578" customWidth="1" style="11"/>
    <col min="520" max="520" width="13.28516" customWidth="1" style="11"/>
    <col min="521" max="521" width="12.57031" customWidth="1" style="11"/>
    <col min="522" max="522" width="15.85547" customWidth="1" style="11"/>
    <col min="523" max="767" width="9.140625" customWidth="1" style="11"/>
    <col min="768" max="768" width="22.71094" customWidth="1" style="11"/>
    <col min="769" max="769" width="26.28516" customWidth="1" style="11"/>
    <col min="770" max="770" width="34" customWidth="1" style="11"/>
    <col min="771" max="771" width="33.28516" customWidth="1" style="11"/>
    <col min="772" max="772" width="34.14063" customWidth="1" style="11"/>
    <col min="773" max="773" width="38.85547" customWidth="1" style="11"/>
    <col min="774" max="774" width="39.57031" customWidth="1" style="11"/>
    <col min="775" max="775" width="19.42578" customWidth="1" style="11"/>
    <col min="776" max="776" width="13.28516" customWidth="1" style="11"/>
    <col min="777" max="777" width="12.57031" customWidth="1" style="11"/>
    <col min="778" max="778" width="15.85547" customWidth="1" style="11"/>
    <col min="779" max="1023" width="9.140625" customWidth="1" style="11"/>
    <col min="1024" max="1024" width="22.71094" customWidth="1" style="11"/>
    <col min="1025" max="1025" width="26.28516" customWidth="1" style="11"/>
    <col min="1026" max="1026" width="34" customWidth="1" style="11"/>
    <col min="1027" max="1027" width="33.28516" customWidth="1" style="11"/>
    <col min="1028" max="1028" width="34.14063" customWidth="1" style="11"/>
    <col min="1029" max="1029" width="38.85547" customWidth="1" style="11"/>
    <col min="1030" max="1030" width="39.57031" customWidth="1" style="11"/>
    <col min="1031" max="1031" width="19.42578" customWidth="1" style="11"/>
    <col min="1032" max="1032" width="13.28516" customWidth="1" style="11"/>
    <col min="1033" max="1033" width="12.57031" customWidth="1" style="11"/>
    <col min="1034" max="1034" width="15.85547" customWidth="1" style="11"/>
    <col min="1035" max="1279" width="9.140625" customWidth="1" style="11"/>
    <col min="1280" max="1280" width="22.71094" customWidth="1" style="11"/>
    <col min="1281" max="1281" width="26.28516" customWidth="1" style="11"/>
    <col min="1282" max="1282" width="34" customWidth="1" style="11"/>
    <col min="1283" max="1283" width="33.28516" customWidth="1" style="11"/>
    <col min="1284" max="1284" width="34.14063" customWidth="1" style="11"/>
    <col min="1285" max="1285" width="38.85547" customWidth="1" style="11"/>
    <col min="1286" max="1286" width="39.57031" customWidth="1" style="11"/>
    <col min="1287" max="1287" width="19.42578" customWidth="1" style="11"/>
    <col min="1288" max="1288" width="13.28516" customWidth="1" style="11"/>
    <col min="1289" max="1289" width="12.57031" customWidth="1" style="11"/>
    <col min="1290" max="1290" width="15.85547" customWidth="1" style="11"/>
    <col min="1291" max="1535" width="9.140625" customWidth="1" style="11"/>
    <col min="1536" max="1536" width="22.71094" customWidth="1" style="11"/>
    <col min="1537" max="1537" width="26.28516" customWidth="1" style="11"/>
    <col min="1538" max="1538" width="34" customWidth="1" style="11"/>
    <col min="1539" max="1539" width="33.28516" customWidth="1" style="11"/>
    <col min="1540" max="1540" width="34.14063" customWidth="1" style="11"/>
    <col min="1541" max="1541" width="38.85547" customWidth="1" style="11"/>
    <col min="1542" max="1542" width="39.57031" customWidth="1" style="11"/>
    <col min="1543" max="1543" width="19.42578" customWidth="1" style="11"/>
    <col min="1544" max="1544" width="13.28516" customWidth="1" style="11"/>
    <col min="1545" max="1545" width="12.57031" customWidth="1" style="11"/>
    <col min="1546" max="1546" width="15.85547" customWidth="1" style="11"/>
    <col min="1547" max="1791" width="9.140625" customWidth="1" style="11"/>
    <col min="1792" max="1792" width="22.71094" customWidth="1" style="11"/>
    <col min="1793" max="1793" width="26.28516" customWidth="1" style="11"/>
    <col min="1794" max="1794" width="34" customWidth="1" style="11"/>
    <col min="1795" max="1795" width="33.28516" customWidth="1" style="11"/>
    <col min="1796" max="1796" width="34.14063" customWidth="1" style="11"/>
    <col min="1797" max="1797" width="38.85547" customWidth="1" style="11"/>
    <col min="1798" max="1798" width="39.57031" customWidth="1" style="11"/>
    <col min="1799" max="1799" width="19.42578" customWidth="1" style="11"/>
    <col min="1800" max="1800" width="13.28516" customWidth="1" style="11"/>
    <col min="1801" max="1801" width="12.57031" customWidth="1" style="11"/>
    <col min="1802" max="1802" width="15.85547" customWidth="1" style="11"/>
    <col min="1803" max="2047" width="9.140625" customWidth="1" style="11"/>
    <col min="2048" max="2048" width="22.71094" customWidth="1" style="11"/>
    <col min="2049" max="2049" width="26.28516" customWidth="1" style="11"/>
    <col min="2050" max="2050" width="34" customWidth="1" style="11"/>
    <col min="2051" max="2051" width="33.28516" customWidth="1" style="11"/>
    <col min="2052" max="2052" width="34.14063" customWidth="1" style="11"/>
    <col min="2053" max="2053" width="38.85547" customWidth="1" style="11"/>
    <col min="2054" max="2054" width="39.57031" customWidth="1" style="11"/>
    <col min="2055" max="2055" width="19.42578" customWidth="1" style="11"/>
    <col min="2056" max="2056" width="13.28516" customWidth="1" style="11"/>
    <col min="2057" max="2057" width="12.57031" customWidth="1" style="11"/>
    <col min="2058" max="2058" width="15.85547" customWidth="1" style="11"/>
    <col min="2059" max="2303" width="9.140625" customWidth="1" style="11"/>
    <col min="2304" max="2304" width="22.71094" customWidth="1" style="11"/>
    <col min="2305" max="2305" width="26.28516" customWidth="1" style="11"/>
    <col min="2306" max="2306" width="34" customWidth="1" style="11"/>
    <col min="2307" max="2307" width="33.28516" customWidth="1" style="11"/>
    <col min="2308" max="2308" width="34.14063" customWidth="1" style="11"/>
    <col min="2309" max="2309" width="38.85547" customWidth="1" style="11"/>
    <col min="2310" max="2310" width="39.57031" customWidth="1" style="11"/>
    <col min="2311" max="2311" width="19.42578" customWidth="1" style="11"/>
    <col min="2312" max="2312" width="13.28516" customWidth="1" style="11"/>
    <col min="2313" max="2313" width="12.57031" customWidth="1" style="11"/>
    <col min="2314" max="2314" width="15.85547" customWidth="1" style="11"/>
    <col min="2315" max="2559" width="9.140625" customWidth="1" style="11"/>
    <col min="2560" max="2560" width="22.71094" customWidth="1" style="11"/>
    <col min="2561" max="2561" width="26.28516" customWidth="1" style="11"/>
    <col min="2562" max="2562" width="34" customWidth="1" style="11"/>
    <col min="2563" max="2563" width="33.28516" customWidth="1" style="11"/>
    <col min="2564" max="2564" width="34.14063" customWidth="1" style="11"/>
    <col min="2565" max="2565" width="38.85547" customWidth="1" style="11"/>
    <col min="2566" max="2566" width="39.57031" customWidth="1" style="11"/>
    <col min="2567" max="2567" width="19.42578" customWidth="1" style="11"/>
    <col min="2568" max="2568" width="13.28516" customWidth="1" style="11"/>
    <col min="2569" max="2569" width="12.57031" customWidth="1" style="11"/>
    <col min="2570" max="2570" width="15.85547" customWidth="1" style="11"/>
    <col min="2571" max="2815" width="9.140625" customWidth="1" style="11"/>
    <col min="2816" max="2816" width="22.71094" customWidth="1" style="11"/>
    <col min="2817" max="2817" width="26.28516" customWidth="1" style="11"/>
    <col min="2818" max="2818" width="34" customWidth="1" style="11"/>
    <col min="2819" max="2819" width="33.28516" customWidth="1" style="11"/>
    <col min="2820" max="2820" width="34.14063" customWidth="1" style="11"/>
    <col min="2821" max="2821" width="38.85547" customWidth="1" style="11"/>
    <col min="2822" max="2822" width="39.57031" customWidth="1" style="11"/>
    <col min="2823" max="2823" width="19.42578" customWidth="1" style="11"/>
    <col min="2824" max="2824" width="13.28516" customWidth="1" style="11"/>
    <col min="2825" max="2825" width="12.57031" customWidth="1" style="11"/>
    <col min="2826" max="2826" width="15.85547" customWidth="1" style="11"/>
    <col min="2827" max="3071" width="9.140625" customWidth="1" style="11"/>
    <col min="3072" max="3072" width="22.71094" customWidth="1" style="11"/>
    <col min="3073" max="3073" width="26.28516" customWidth="1" style="11"/>
    <col min="3074" max="3074" width="34" customWidth="1" style="11"/>
    <col min="3075" max="3075" width="33.28516" customWidth="1" style="11"/>
    <col min="3076" max="3076" width="34.14063" customWidth="1" style="11"/>
    <col min="3077" max="3077" width="38.85547" customWidth="1" style="11"/>
    <col min="3078" max="3078" width="39.57031" customWidth="1" style="11"/>
    <col min="3079" max="3079" width="19.42578" customWidth="1" style="11"/>
    <col min="3080" max="3080" width="13.28516" customWidth="1" style="11"/>
    <col min="3081" max="3081" width="12.57031" customWidth="1" style="11"/>
    <col min="3082" max="3082" width="15.85547" customWidth="1" style="11"/>
    <col min="3083" max="3327" width="9.140625" customWidth="1" style="11"/>
    <col min="3328" max="3328" width="22.71094" customWidth="1" style="11"/>
    <col min="3329" max="3329" width="26.28516" customWidth="1" style="11"/>
    <col min="3330" max="3330" width="34" customWidth="1" style="11"/>
    <col min="3331" max="3331" width="33.28516" customWidth="1" style="11"/>
    <col min="3332" max="3332" width="34.14063" customWidth="1" style="11"/>
    <col min="3333" max="3333" width="38.85547" customWidth="1" style="11"/>
    <col min="3334" max="3334" width="39.57031" customWidth="1" style="11"/>
    <col min="3335" max="3335" width="19.42578" customWidth="1" style="11"/>
    <col min="3336" max="3336" width="13.28516" customWidth="1" style="11"/>
    <col min="3337" max="3337" width="12.57031" customWidth="1" style="11"/>
    <col min="3338" max="3338" width="15.85547" customWidth="1" style="11"/>
    <col min="3339" max="3583" width="9.140625" customWidth="1" style="11"/>
    <col min="3584" max="3584" width="22.71094" customWidth="1" style="11"/>
    <col min="3585" max="3585" width="26.28516" customWidth="1" style="11"/>
    <col min="3586" max="3586" width="34" customWidth="1" style="11"/>
    <col min="3587" max="3587" width="33.28516" customWidth="1" style="11"/>
    <col min="3588" max="3588" width="34.14063" customWidth="1" style="11"/>
    <col min="3589" max="3589" width="38.85547" customWidth="1" style="11"/>
    <col min="3590" max="3590" width="39.57031" customWidth="1" style="11"/>
    <col min="3591" max="3591" width="19.42578" customWidth="1" style="11"/>
    <col min="3592" max="3592" width="13.28516" customWidth="1" style="11"/>
    <col min="3593" max="3593" width="12.57031" customWidth="1" style="11"/>
    <col min="3594" max="3594" width="15.85547" customWidth="1" style="11"/>
    <col min="3595" max="3839" width="9.140625" customWidth="1" style="11"/>
    <col min="3840" max="3840" width="22.71094" customWidth="1" style="11"/>
    <col min="3841" max="3841" width="26.28516" customWidth="1" style="11"/>
    <col min="3842" max="3842" width="34" customWidth="1" style="11"/>
    <col min="3843" max="3843" width="33.28516" customWidth="1" style="11"/>
    <col min="3844" max="3844" width="34.14063" customWidth="1" style="11"/>
    <col min="3845" max="3845" width="38.85547" customWidth="1" style="11"/>
    <col min="3846" max="3846" width="39.57031" customWidth="1" style="11"/>
    <col min="3847" max="3847" width="19.42578" customWidth="1" style="11"/>
    <col min="3848" max="3848" width="13.28516" customWidth="1" style="11"/>
    <col min="3849" max="3849" width="12.57031" customWidth="1" style="11"/>
    <col min="3850" max="3850" width="15.85547" customWidth="1" style="11"/>
    <col min="3851" max="4095" width="9.140625" customWidth="1" style="11"/>
    <col min="4096" max="4096" width="22.71094" customWidth="1" style="11"/>
    <col min="4097" max="4097" width="26.28516" customWidth="1" style="11"/>
    <col min="4098" max="4098" width="34" customWidth="1" style="11"/>
    <col min="4099" max="4099" width="33.28516" customWidth="1" style="11"/>
    <col min="4100" max="4100" width="34.14063" customWidth="1" style="11"/>
    <col min="4101" max="4101" width="38.85547" customWidth="1" style="11"/>
    <col min="4102" max="4102" width="39.57031" customWidth="1" style="11"/>
    <col min="4103" max="4103" width="19.42578" customWidth="1" style="11"/>
    <col min="4104" max="4104" width="13.28516" customWidth="1" style="11"/>
    <col min="4105" max="4105" width="12.57031" customWidth="1" style="11"/>
    <col min="4106" max="4106" width="15.85547" customWidth="1" style="11"/>
    <col min="4107" max="4351" width="9.140625" customWidth="1" style="11"/>
    <col min="4352" max="4352" width="22.71094" customWidth="1" style="11"/>
    <col min="4353" max="4353" width="26.28516" customWidth="1" style="11"/>
    <col min="4354" max="4354" width="34" customWidth="1" style="11"/>
    <col min="4355" max="4355" width="33.28516" customWidth="1" style="11"/>
    <col min="4356" max="4356" width="34.14063" customWidth="1" style="11"/>
    <col min="4357" max="4357" width="38.85547" customWidth="1" style="11"/>
    <col min="4358" max="4358" width="39.57031" customWidth="1" style="11"/>
    <col min="4359" max="4359" width="19.42578" customWidth="1" style="11"/>
    <col min="4360" max="4360" width="13.28516" customWidth="1" style="11"/>
    <col min="4361" max="4361" width="12.57031" customWidth="1" style="11"/>
    <col min="4362" max="4362" width="15.85547" customWidth="1" style="11"/>
    <col min="4363" max="4607" width="9.140625" customWidth="1" style="11"/>
    <col min="4608" max="4608" width="22.71094" customWidth="1" style="11"/>
    <col min="4609" max="4609" width="26.28516" customWidth="1" style="11"/>
    <col min="4610" max="4610" width="34" customWidth="1" style="11"/>
    <col min="4611" max="4611" width="33.28516" customWidth="1" style="11"/>
    <col min="4612" max="4612" width="34.14063" customWidth="1" style="11"/>
    <col min="4613" max="4613" width="38.85547" customWidth="1" style="11"/>
    <col min="4614" max="4614" width="39.57031" customWidth="1" style="11"/>
    <col min="4615" max="4615" width="19.42578" customWidth="1" style="11"/>
    <col min="4616" max="4616" width="13.28516" customWidth="1" style="11"/>
    <col min="4617" max="4617" width="12.57031" customWidth="1" style="11"/>
    <col min="4618" max="4618" width="15.85547" customWidth="1" style="11"/>
    <col min="4619" max="4863" width="9.140625" customWidth="1" style="11"/>
    <col min="4864" max="4864" width="22.71094" customWidth="1" style="11"/>
    <col min="4865" max="4865" width="26.28516" customWidth="1" style="11"/>
    <col min="4866" max="4866" width="34" customWidth="1" style="11"/>
    <col min="4867" max="4867" width="33.28516" customWidth="1" style="11"/>
    <col min="4868" max="4868" width="34.14063" customWidth="1" style="11"/>
    <col min="4869" max="4869" width="38.85547" customWidth="1" style="11"/>
    <col min="4870" max="4870" width="39.57031" customWidth="1" style="11"/>
    <col min="4871" max="4871" width="19.42578" customWidth="1" style="11"/>
    <col min="4872" max="4872" width="13.28516" customWidth="1" style="11"/>
    <col min="4873" max="4873" width="12.57031" customWidth="1" style="11"/>
    <col min="4874" max="4874" width="15.85547" customWidth="1" style="11"/>
    <col min="4875" max="5119" width="9.140625" customWidth="1" style="11"/>
    <col min="5120" max="5120" width="22.71094" customWidth="1" style="11"/>
    <col min="5121" max="5121" width="26.28516" customWidth="1" style="11"/>
    <col min="5122" max="5122" width="34" customWidth="1" style="11"/>
    <col min="5123" max="5123" width="33.28516" customWidth="1" style="11"/>
    <col min="5124" max="5124" width="34.14063" customWidth="1" style="11"/>
    <col min="5125" max="5125" width="38.85547" customWidth="1" style="11"/>
    <col min="5126" max="5126" width="39.57031" customWidth="1" style="11"/>
    <col min="5127" max="5127" width="19.42578" customWidth="1" style="11"/>
    <col min="5128" max="5128" width="13.28516" customWidth="1" style="11"/>
    <col min="5129" max="5129" width="12.57031" customWidth="1" style="11"/>
    <col min="5130" max="5130" width="15.85547" customWidth="1" style="11"/>
    <col min="5131" max="5375" width="9.140625" customWidth="1" style="11"/>
    <col min="5376" max="5376" width="22.71094" customWidth="1" style="11"/>
    <col min="5377" max="5377" width="26.28516" customWidth="1" style="11"/>
    <col min="5378" max="5378" width="34" customWidth="1" style="11"/>
    <col min="5379" max="5379" width="33.28516" customWidth="1" style="11"/>
    <col min="5380" max="5380" width="34.14063" customWidth="1" style="11"/>
    <col min="5381" max="5381" width="38.85547" customWidth="1" style="11"/>
    <col min="5382" max="5382" width="39.57031" customWidth="1" style="11"/>
    <col min="5383" max="5383" width="19.42578" customWidth="1" style="11"/>
    <col min="5384" max="5384" width="13.28516" customWidth="1" style="11"/>
    <col min="5385" max="5385" width="12.57031" customWidth="1" style="11"/>
    <col min="5386" max="5386" width="15.85547" customWidth="1" style="11"/>
    <col min="5387" max="5631" width="9.140625" customWidth="1" style="11"/>
    <col min="5632" max="5632" width="22.71094" customWidth="1" style="11"/>
    <col min="5633" max="5633" width="26.28516" customWidth="1" style="11"/>
    <col min="5634" max="5634" width="34" customWidth="1" style="11"/>
    <col min="5635" max="5635" width="33.28516" customWidth="1" style="11"/>
    <col min="5636" max="5636" width="34.14063" customWidth="1" style="11"/>
    <col min="5637" max="5637" width="38.85547" customWidth="1" style="11"/>
    <col min="5638" max="5638" width="39.57031" customWidth="1" style="11"/>
    <col min="5639" max="5639" width="19.42578" customWidth="1" style="11"/>
    <col min="5640" max="5640" width="13.28516" customWidth="1" style="11"/>
    <col min="5641" max="5641" width="12.57031" customWidth="1" style="11"/>
    <col min="5642" max="5642" width="15.85547" customWidth="1" style="11"/>
    <col min="5643" max="5887" width="9.140625" customWidth="1" style="11"/>
    <col min="5888" max="5888" width="22.71094" customWidth="1" style="11"/>
    <col min="5889" max="5889" width="26.28516" customWidth="1" style="11"/>
    <col min="5890" max="5890" width="34" customWidth="1" style="11"/>
    <col min="5891" max="5891" width="33.28516" customWidth="1" style="11"/>
    <col min="5892" max="5892" width="34.14063" customWidth="1" style="11"/>
    <col min="5893" max="5893" width="38.85547" customWidth="1" style="11"/>
    <col min="5894" max="5894" width="39.57031" customWidth="1" style="11"/>
    <col min="5895" max="5895" width="19.42578" customWidth="1" style="11"/>
    <col min="5896" max="5896" width="13.28516" customWidth="1" style="11"/>
    <col min="5897" max="5897" width="12.57031" customWidth="1" style="11"/>
    <col min="5898" max="5898" width="15.85547" customWidth="1" style="11"/>
    <col min="5899" max="6143" width="9.140625" customWidth="1" style="11"/>
    <col min="6144" max="6144" width="22.71094" customWidth="1" style="11"/>
    <col min="6145" max="6145" width="26.28516" customWidth="1" style="11"/>
    <col min="6146" max="6146" width="34" customWidth="1" style="11"/>
    <col min="6147" max="6147" width="33.28516" customWidth="1" style="11"/>
    <col min="6148" max="6148" width="34.14063" customWidth="1" style="11"/>
    <col min="6149" max="6149" width="38.85547" customWidth="1" style="11"/>
    <col min="6150" max="6150" width="39.57031" customWidth="1" style="11"/>
    <col min="6151" max="6151" width="19.42578" customWidth="1" style="11"/>
    <col min="6152" max="6152" width="13.28516" customWidth="1" style="11"/>
    <col min="6153" max="6153" width="12.57031" customWidth="1" style="11"/>
    <col min="6154" max="6154" width="15.85547" customWidth="1" style="11"/>
    <col min="6155" max="6399" width="9.140625" customWidth="1" style="11"/>
    <col min="6400" max="6400" width="22.71094" customWidth="1" style="11"/>
    <col min="6401" max="6401" width="26.28516" customWidth="1" style="11"/>
    <col min="6402" max="6402" width="34" customWidth="1" style="11"/>
    <col min="6403" max="6403" width="33.28516" customWidth="1" style="11"/>
    <col min="6404" max="6404" width="34.14063" customWidth="1" style="11"/>
    <col min="6405" max="6405" width="38.85547" customWidth="1" style="11"/>
    <col min="6406" max="6406" width="39.57031" customWidth="1" style="11"/>
    <col min="6407" max="6407" width="19.42578" customWidth="1" style="11"/>
    <col min="6408" max="6408" width="13.28516" customWidth="1" style="11"/>
    <col min="6409" max="6409" width="12.57031" customWidth="1" style="11"/>
    <col min="6410" max="6410" width="15.85547" customWidth="1" style="11"/>
    <col min="6411" max="6655" width="9.140625" customWidth="1" style="11"/>
    <col min="6656" max="6656" width="22.71094" customWidth="1" style="11"/>
    <col min="6657" max="6657" width="26.28516" customWidth="1" style="11"/>
    <col min="6658" max="6658" width="34" customWidth="1" style="11"/>
    <col min="6659" max="6659" width="33.28516" customWidth="1" style="11"/>
    <col min="6660" max="6660" width="34.14063" customWidth="1" style="11"/>
    <col min="6661" max="6661" width="38.85547" customWidth="1" style="11"/>
    <col min="6662" max="6662" width="39.57031" customWidth="1" style="11"/>
    <col min="6663" max="6663" width="19.42578" customWidth="1" style="11"/>
    <col min="6664" max="6664" width="13.28516" customWidth="1" style="11"/>
    <col min="6665" max="6665" width="12.57031" customWidth="1" style="11"/>
    <col min="6666" max="6666" width="15.85547" customWidth="1" style="11"/>
    <col min="6667" max="6911" width="9.140625" customWidth="1" style="11"/>
    <col min="6912" max="6912" width="22.71094" customWidth="1" style="11"/>
    <col min="6913" max="6913" width="26.28516" customWidth="1" style="11"/>
    <col min="6914" max="6914" width="34" customWidth="1" style="11"/>
    <col min="6915" max="6915" width="33.28516" customWidth="1" style="11"/>
    <col min="6916" max="6916" width="34.14063" customWidth="1" style="11"/>
    <col min="6917" max="6917" width="38.85547" customWidth="1" style="11"/>
    <col min="6918" max="6918" width="39.57031" customWidth="1" style="11"/>
    <col min="6919" max="6919" width="19.42578" customWidth="1" style="11"/>
    <col min="6920" max="6920" width="13.28516" customWidth="1" style="11"/>
    <col min="6921" max="6921" width="12.57031" customWidth="1" style="11"/>
    <col min="6922" max="6922" width="15.85547" customWidth="1" style="11"/>
    <col min="6923" max="7167" width="9.140625" customWidth="1" style="11"/>
    <col min="7168" max="7168" width="22.71094" customWidth="1" style="11"/>
    <col min="7169" max="7169" width="26.28516" customWidth="1" style="11"/>
    <col min="7170" max="7170" width="34" customWidth="1" style="11"/>
    <col min="7171" max="7171" width="33.28516" customWidth="1" style="11"/>
    <col min="7172" max="7172" width="34.14063" customWidth="1" style="11"/>
    <col min="7173" max="7173" width="38.85547" customWidth="1" style="11"/>
    <col min="7174" max="7174" width="39.57031" customWidth="1" style="11"/>
    <col min="7175" max="7175" width="19.42578" customWidth="1" style="11"/>
    <col min="7176" max="7176" width="13.28516" customWidth="1" style="11"/>
    <col min="7177" max="7177" width="12.57031" customWidth="1" style="11"/>
    <col min="7178" max="7178" width="15.85547" customWidth="1" style="11"/>
    <col min="7179" max="7423" width="9.140625" customWidth="1" style="11"/>
    <col min="7424" max="7424" width="22.71094" customWidth="1" style="11"/>
    <col min="7425" max="7425" width="26.28516" customWidth="1" style="11"/>
    <col min="7426" max="7426" width="34" customWidth="1" style="11"/>
    <col min="7427" max="7427" width="33.28516" customWidth="1" style="11"/>
    <col min="7428" max="7428" width="34.14063" customWidth="1" style="11"/>
    <col min="7429" max="7429" width="38.85547" customWidth="1" style="11"/>
    <col min="7430" max="7430" width="39.57031" customWidth="1" style="11"/>
    <col min="7431" max="7431" width="19.42578" customWidth="1" style="11"/>
    <col min="7432" max="7432" width="13.28516" customWidth="1" style="11"/>
    <col min="7433" max="7433" width="12.57031" customWidth="1" style="11"/>
    <col min="7434" max="7434" width="15.85547" customWidth="1" style="11"/>
    <col min="7435" max="7679" width="9.140625" customWidth="1" style="11"/>
    <col min="7680" max="7680" width="22.71094" customWidth="1" style="11"/>
    <col min="7681" max="7681" width="26.28516" customWidth="1" style="11"/>
    <col min="7682" max="7682" width="34" customWidth="1" style="11"/>
    <col min="7683" max="7683" width="33.28516" customWidth="1" style="11"/>
    <col min="7684" max="7684" width="34.14063" customWidth="1" style="11"/>
    <col min="7685" max="7685" width="38.85547" customWidth="1" style="11"/>
    <col min="7686" max="7686" width="39.57031" customWidth="1" style="11"/>
    <col min="7687" max="7687" width="19.42578" customWidth="1" style="11"/>
    <col min="7688" max="7688" width="13.28516" customWidth="1" style="11"/>
    <col min="7689" max="7689" width="12.57031" customWidth="1" style="11"/>
    <col min="7690" max="7690" width="15.85547" customWidth="1" style="11"/>
    <col min="7691" max="7935" width="9.140625" customWidth="1" style="11"/>
    <col min="7936" max="7936" width="22.71094" customWidth="1" style="11"/>
    <col min="7937" max="7937" width="26.28516" customWidth="1" style="11"/>
    <col min="7938" max="7938" width="34" customWidth="1" style="11"/>
    <col min="7939" max="7939" width="33.28516" customWidth="1" style="11"/>
    <col min="7940" max="7940" width="34.14063" customWidth="1" style="11"/>
    <col min="7941" max="7941" width="38.85547" customWidth="1" style="11"/>
    <col min="7942" max="7942" width="39.57031" customWidth="1" style="11"/>
    <col min="7943" max="7943" width="19.42578" customWidth="1" style="11"/>
    <col min="7944" max="7944" width="13.28516" customWidth="1" style="11"/>
    <col min="7945" max="7945" width="12.57031" customWidth="1" style="11"/>
    <col min="7946" max="7946" width="15.85547" customWidth="1" style="11"/>
    <col min="7947" max="8191" width="9.140625" customWidth="1" style="11"/>
    <col min="8192" max="8192" width="22.71094" customWidth="1" style="11"/>
    <col min="8193" max="8193" width="26.28516" customWidth="1" style="11"/>
    <col min="8194" max="8194" width="34" customWidth="1" style="11"/>
    <col min="8195" max="8195" width="33.28516" customWidth="1" style="11"/>
    <col min="8196" max="8196" width="34.14063" customWidth="1" style="11"/>
    <col min="8197" max="8197" width="38.85547" customWidth="1" style="11"/>
    <col min="8198" max="8198" width="39.57031" customWidth="1" style="11"/>
    <col min="8199" max="8199" width="19.42578" customWidth="1" style="11"/>
    <col min="8200" max="8200" width="13.28516" customWidth="1" style="11"/>
    <col min="8201" max="8201" width="12.57031" customWidth="1" style="11"/>
    <col min="8202" max="8202" width="15.85547" customWidth="1" style="11"/>
    <col min="8203" max="8447" width="9.140625" customWidth="1" style="11"/>
    <col min="8448" max="8448" width="22.71094" customWidth="1" style="11"/>
    <col min="8449" max="8449" width="26.28516" customWidth="1" style="11"/>
    <col min="8450" max="8450" width="34" customWidth="1" style="11"/>
    <col min="8451" max="8451" width="33.28516" customWidth="1" style="11"/>
    <col min="8452" max="8452" width="34.14063" customWidth="1" style="11"/>
    <col min="8453" max="8453" width="38.85547" customWidth="1" style="11"/>
    <col min="8454" max="8454" width="39.57031" customWidth="1" style="11"/>
    <col min="8455" max="8455" width="19.42578" customWidth="1" style="11"/>
    <col min="8456" max="8456" width="13.28516" customWidth="1" style="11"/>
    <col min="8457" max="8457" width="12.57031" customWidth="1" style="11"/>
    <col min="8458" max="8458" width="15.85547" customWidth="1" style="11"/>
    <col min="8459" max="8703" width="9.140625" customWidth="1" style="11"/>
    <col min="8704" max="8704" width="22.71094" customWidth="1" style="11"/>
    <col min="8705" max="8705" width="26.28516" customWidth="1" style="11"/>
    <col min="8706" max="8706" width="34" customWidth="1" style="11"/>
    <col min="8707" max="8707" width="33.28516" customWidth="1" style="11"/>
    <col min="8708" max="8708" width="34.14063" customWidth="1" style="11"/>
    <col min="8709" max="8709" width="38.85547" customWidth="1" style="11"/>
    <col min="8710" max="8710" width="39.57031" customWidth="1" style="11"/>
    <col min="8711" max="8711" width="19.42578" customWidth="1" style="11"/>
    <col min="8712" max="8712" width="13.28516" customWidth="1" style="11"/>
    <col min="8713" max="8713" width="12.57031" customWidth="1" style="11"/>
    <col min="8714" max="8714" width="15.85547" customWidth="1" style="11"/>
    <col min="8715" max="8959" width="9.140625" customWidth="1" style="11"/>
    <col min="8960" max="8960" width="22.71094" customWidth="1" style="11"/>
    <col min="8961" max="8961" width="26.28516" customWidth="1" style="11"/>
    <col min="8962" max="8962" width="34" customWidth="1" style="11"/>
    <col min="8963" max="8963" width="33.28516" customWidth="1" style="11"/>
    <col min="8964" max="8964" width="34.14063" customWidth="1" style="11"/>
    <col min="8965" max="8965" width="38.85547" customWidth="1" style="11"/>
    <col min="8966" max="8966" width="39.57031" customWidth="1" style="11"/>
    <col min="8967" max="8967" width="19.42578" customWidth="1" style="11"/>
    <col min="8968" max="8968" width="13.28516" customWidth="1" style="11"/>
    <col min="8969" max="8969" width="12.57031" customWidth="1" style="11"/>
    <col min="8970" max="8970" width="15.85547" customWidth="1" style="11"/>
    <col min="8971" max="9215" width="9.140625" customWidth="1" style="11"/>
    <col min="9216" max="9216" width="22.71094" customWidth="1" style="11"/>
    <col min="9217" max="9217" width="26.28516" customWidth="1" style="11"/>
    <col min="9218" max="9218" width="34" customWidth="1" style="11"/>
    <col min="9219" max="9219" width="33.28516" customWidth="1" style="11"/>
    <col min="9220" max="9220" width="34.14063" customWidth="1" style="11"/>
    <col min="9221" max="9221" width="38.85547" customWidth="1" style="11"/>
    <col min="9222" max="9222" width="39.57031" customWidth="1" style="11"/>
    <col min="9223" max="9223" width="19.42578" customWidth="1" style="11"/>
    <col min="9224" max="9224" width="13.28516" customWidth="1" style="11"/>
    <col min="9225" max="9225" width="12.57031" customWidth="1" style="11"/>
    <col min="9226" max="9226" width="15.85547" customWidth="1" style="11"/>
    <col min="9227" max="9471" width="9.140625" customWidth="1" style="11"/>
    <col min="9472" max="9472" width="22.71094" customWidth="1" style="11"/>
    <col min="9473" max="9473" width="26.28516" customWidth="1" style="11"/>
    <col min="9474" max="9474" width="34" customWidth="1" style="11"/>
    <col min="9475" max="9475" width="33.28516" customWidth="1" style="11"/>
    <col min="9476" max="9476" width="34.14063" customWidth="1" style="11"/>
    <col min="9477" max="9477" width="38.85547" customWidth="1" style="11"/>
    <col min="9478" max="9478" width="39.57031" customWidth="1" style="11"/>
    <col min="9479" max="9479" width="19.42578" customWidth="1" style="11"/>
    <col min="9480" max="9480" width="13.28516" customWidth="1" style="11"/>
    <col min="9481" max="9481" width="12.57031" customWidth="1" style="11"/>
    <col min="9482" max="9482" width="15.85547" customWidth="1" style="11"/>
    <col min="9483" max="9727" width="9.140625" customWidth="1" style="11"/>
    <col min="9728" max="9728" width="22.71094" customWidth="1" style="11"/>
    <col min="9729" max="9729" width="26.28516" customWidth="1" style="11"/>
    <col min="9730" max="9730" width="34" customWidth="1" style="11"/>
    <col min="9731" max="9731" width="33.28516" customWidth="1" style="11"/>
    <col min="9732" max="9732" width="34.14063" customWidth="1" style="11"/>
    <col min="9733" max="9733" width="38.85547" customWidth="1" style="11"/>
    <col min="9734" max="9734" width="39.57031" customWidth="1" style="11"/>
    <col min="9735" max="9735" width="19.42578" customWidth="1" style="11"/>
    <col min="9736" max="9736" width="13.28516" customWidth="1" style="11"/>
    <col min="9737" max="9737" width="12.57031" customWidth="1" style="11"/>
    <col min="9738" max="9738" width="15.85547" customWidth="1" style="11"/>
    <col min="9739" max="9983" width="9.140625" customWidth="1" style="11"/>
    <col min="9984" max="9984" width="22.71094" customWidth="1" style="11"/>
    <col min="9985" max="9985" width="26.28516" customWidth="1" style="11"/>
    <col min="9986" max="9986" width="34" customWidth="1" style="11"/>
    <col min="9987" max="9987" width="33.28516" customWidth="1" style="11"/>
    <col min="9988" max="9988" width="34.14063" customWidth="1" style="11"/>
    <col min="9989" max="9989" width="38.85547" customWidth="1" style="11"/>
    <col min="9990" max="9990" width="39.57031" customWidth="1" style="11"/>
    <col min="9991" max="9991" width="19.42578" customWidth="1" style="11"/>
    <col min="9992" max="9992" width="13.28516" customWidth="1" style="11"/>
    <col min="9993" max="9993" width="12.57031" customWidth="1" style="11"/>
    <col min="9994" max="9994" width="15.85547" customWidth="1" style="11"/>
    <col min="9995" max="10239" width="9.140625" customWidth="1" style="11"/>
    <col min="10240" max="10240" width="22.71094" customWidth="1" style="11"/>
    <col min="10241" max="10241" width="26.28516" customWidth="1" style="11"/>
    <col min="10242" max="10242" width="34" customWidth="1" style="11"/>
    <col min="10243" max="10243" width="33.28516" customWidth="1" style="11"/>
    <col min="10244" max="10244" width="34.14063" customWidth="1" style="11"/>
    <col min="10245" max="10245" width="38.85547" customWidth="1" style="11"/>
    <col min="10246" max="10246" width="39.57031" customWidth="1" style="11"/>
    <col min="10247" max="10247" width="19.42578" customWidth="1" style="11"/>
    <col min="10248" max="10248" width="13.28516" customWidth="1" style="11"/>
    <col min="10249" max="10249" width="12.57031" customWidth="1" style="11"/>
    <col min="10250" max="10250" width="15.85547" customWidth="1" style="11"/>
    <col min="10251" max="10495" width="9.140625" customWidth="1" style="11"/>
    <col min="10496" max="10496" width="22.71094" customWidth="1" style="11"/>
    <col min="10497" max="10497" width="26.28516" customWidth="1" style="11"/>
    <col min="10498" max="10498" width="34" customWidth="1" style="11"/>
    <col min="10499" max="10499" width="33.28516" customWidth="1" style="11"/>
    <col min="10500" max="10500" width="34.14063" customWidth="1" style="11"/>
    <col min="10501" max="10501" width="38.85547" customWidth="1" style="11"/>
    <col min="10502" max="10502" width="39.57031" customWidth="1" style="11"/>
    <col min="10503" max="10503" width="19.42578" customWidth="1" style="11"/>
    <col min="10504" max="10504" width="13.28516" customWidth="1" style="11"/>
    <col min="10505" max="10505" width="12.57031" customWidth="1" style="11"/>
    <col min="10506" max="10506" width="15.85547" customWidth="1" style="11"/>
    <col min="10507" max="10751" width="9.140625" customWidth="1" style="11"/>
    <col min="10752" max="10752" width="22.71094" customWidth="1" style="11"/>
    <col min="10753" max="10753" width="26.28516" customWidth="1" style="11"/>
    <col min="10754" max="10754" width="34" customWidth="1" style="11"/>
    <col min="10755" max="10755" width="33.28516" customWidth="1" style="11"/>
    <col min="10756" max="10756" width="34.14063" customWidth="1" style="11"/>
    <col min="10757" max="10757" width="38.85547" customWidth="1" style="11"/>
    <col min="10758" max="10758" width="39.57031" customWidth="1" style="11"/>
    <col min="10759" max="10759" width="19.42578" customWidth="1" style="11"/>
    <col min="10760" max="10760" width="13.28516" customWidth="1" style="11"/>
    <col min="10761" max="10761" width="12.57031" customWidth="1" style="11"/>
    <col min="10762" max="10762" width="15.85547" customWidth="1" style="11"/>
    <col min="10763" max="11007" width="9.140625" customWidth="1" style="11"/>
    <col min="11008" max="11008" width="22.71094" customWidth="1" style="11"/>
    <col min="11009" max="11009" width="26.28516" customWidth="1" style="11"/>
    <col min="11010" max="11010" width="34" customWidth="1" style="11"/>
    <col min="11011" max="11011" width="33.28516" customWidth="1" style="11"/>
    <col min="11012" max="11012" width="34.14063" customWidth="1" style="11"/>
    <col min="11013" max="11013" width="38.85547" customWidth="1" style="11"/>
    <col min="11014" max="11014" width="39.57031" customWidth="1" style="11"/>
    <col min="11015" max="11015" width="19.42578" customWidth="1" style="11"/>
    <col min="11016" max="11016" width="13.28516" customWidth="1" style="11"/>
    <col min="11017" max="11017" width="12.57031" customWidth="1" style="11"/>
    <col min="11018" max="11018" width="15.85547" customWidth="1" style="11"/>
    <col min="11019" max="11263" width="9.140625" customWidth="1" style="11"/>
    <col min="11264" max="11264" width="22.71094" customWidth="1" style="11"/>
    <col min="11265" max="11265" width="26.28516" customWidth="1" style="11"/>
    <col min="11266" max="11266" width="34" customWidth="1" style="11"/>
    <col min="11267" max="11267" width="33.28516" customWidth="1" style="11"/>
    <col min="11268" max="11268" width="34.14063" customWidth="1" style="11"/>
    <col min="11269" max="11269" width="38.85547" customWidth="1" style="11"/>
    <col min="11270" max="11270" width="39.57031" customWidth="1" style="11"/>
    <col min="11271" max="11271" width="19.42578" customWidth="1" style="11"/>
    <col min="11272" max="11272" width="13.28516" customWidth="1" style="11"/>
    <col min="11273" max="11273" width="12.57031" customWidth="1" style="11"/>
    <col min="11274" max="11274" width="15.85547" customWidth="1" style="11"/>
    <col min="11275" max="11519" width="9.140625" customWidth="1" style="11"/>
    <col min="11520" max="11520" width="22.71094" customWidth="1" style="11"/>
    <col min="11521" max="11521" width="26.28516" customWidth="1" style="11"/>
    <col min="11522" max="11522" width="34" customWidth="1" style="11"/>
    <col min="11523" max="11523" width="33.28516" customWidth="1" style="11"/>
    <col min="11524" max="11524" width="34.14063" customWidth="1" style="11"/>
    <col min="11525" max="11525" width="38.85547" customWidth="1" style="11"/>
    <col min="11526" max="11526" width="39.57031" customWidth="1" style="11"/>
    <col min="11527" max="11527" width="19.42578" customWidth="1" style="11"/>
    <col min="11528" max="11528" width="13.28516" customWidth="1" style="11"/>
    <col min="11529" max="11529" width="12.57031" customWidth="1" style="11"/>
    <col min="11530" max="11530" width="15.85547" customWidth="1" style="11"/>
    <col min="11531" max="11775" width="9.140625" customWidth="1" style="11"/>
    <col min="11776" max="11776" width="22.71094" customWidth="1" style="11"/>
    <col min="11777" max="11777" width="26.28516" customWidth="1" style="11"/>
    <col min="11778" max="11778" width="34" customWidth="1" style="11"/>
    <col min="11779" max="11779" width="33.28516" customWidth="1" style="11"/>
    <col min="11780" max="11780" width="34.14063" customWidth="1" style="11"/>
    <col min="11781" max="11781" width="38.85547" customWidth="1" style="11"/>
    <col min="11782" max="11782" width="39.57031" customWidth="1" style="11"/>
    <col min="11783" max="11783" width="19.42578" customWidth="1" style="11"/>
    <col min="11784" max="11784" width="13.28516" customWidth="1" style="11"/>
    <col min="11785" max="11785" width="12.57031" customWidth="1" style="11"/>
    <col min="11786" max="11786" width="15.85547" customWidth="1" style="11"/>
    <col min="11787" max="12031" width="9.140625" customWidth="1" style="11"/>
    <col min="12032" max="12032" width="22.71094" customWidth="1" style="11"/>
    <col min="12033" max="12033" width="26.28516" customWidth="1" style="11"/>
    <col min="12034" max="12034" width="34" customWidth="1" style="11"/>
    <col min="12035" max="12035" width="33.28516" customWidth="1" style="11"/>
    <col min="12036" max="12036" width="34.14063" customWidth="1" style="11"/>
    <col min="12037" max="12037" width="38.85547" customWidth="1" style="11"/>
    <col min="12038" max="12038" width="39.57031" customWidth="1" style="11"/>
    <col min="12039" max="12039" width="19.42578" customWidth="1" style="11"/>
    <col min="12040" max="12040" width="13.28516" customWidth="1" style="11"/>
    <col min="12041" max="12041" width="12.57031" customWidth="1" style="11"/>
    <col min="12042" max="12042" width="15.85547" customWidth="1" style="11"/>
    <col min="12043" max="12287" width="9.140625" customWidth="1" style="11"/>
    <col min="12288" max="12288" width="22.71094" customWidth="1" style="11"/>
    <col min="12289" max="12289" width="26.28516" customWidth="1" style="11"/>
    <col min="12290" max="12290" width="34" customWidth="1" style="11"/>
    <col min="12291" max="12291" width="33.28516" customWidth="1" style="11"/>
    <col min="12292" max="12292" width="34.14063" customWidth="1" style="11"/>
    <col min="12293" max="12293" width="38.85547" customWidth="1" style="11"/>
    <col min="12294" max="12294" width="39.57031" customWidth="1" style="11"/>
    <col min="12295" max="12295" width="19.42578" customWidth="1" style="11"/>
    <col min="12296" max="12296" width="13.28516" customWidth="1" style="11"/>
    <col min="12297" max="12297" width="12.57031" customWidth="1" style="11"/>
    <col min="12298" max="12298" width="15.85547" customWidth="1" style="11"/>
    <col min="12299" max="12543" width="9.140625" customWidth="1" style="11"/>
    <col min="12544" max="12544" width="22.71094" customWidth="1" style="11"/>
    <col min="12545" max="12545" width="26.28516" customWidth="1" style="11"/>
    <col min="12546" max="12546" width="34" customWidth="1" style="11"/>
    <col min="12547" max="12547" width="33.28516" customWidth="1" style="11"/>
    <col min="12548" max="12548" width="34.14063" customWidth="1" style="11"/>
    <col min="12549" max="12549" width="38.85547" customWidth="1" style="11"/>
    <col min="12550" max="12550" width="39.57031" customWidth="1" style="11"/>
    <col min="12551" max="12551" width="19.42578" customWidth="1" style="11"/>
    <col min="12552" max="12552" width="13.28516" customWidth="1" style="11"/>
    <col min="12553" max="12553" width="12.57031" customWidth="1" style="11"/>
    <col min="12554" max="12554" width="15.85547" customWidth="1" style="11"/>
    <col min="12555" max="12799" width="9.140625" customWidth="1" style="11"/>
    <col min="12800" max="12800" width="22.71094" customWidth="1" style="11"/>
    <col min="12801" max="12801" width="26.28516" customWidth="1" style="11"/>
    <col min="12802" max="12802" width="34" customWidth="1" style="11"/>
    <col min="12803" max="12803" width="33.28516" customWidth="1" style="11"/>
    <col min="12804" max="12804" width="34.14063" customWidth="1" style="11"/>
    <col min="12805" max="12805" width="38.85547" customWidth="1" style="11"/>
    <col min="12806" max="12806" width="39.57031" customWidth="1" style="11"/>
    <col min="12807" max="12807" width="19.42578" customWidth="1" style="11"/>
    <col min="12808" max="12808" width="13.28516" customWidth="1" style="11"/>
    <col min="12809" max="12809" width="12.57031" customWidth="1" style="11"/>
    <col min="12810" max="12810" width="15.85547" customWidth="1" style="11"/>
    <col min="12811" max="13055" width="9.140625" customWidth="1" style="11"/>
    <col min="13056" max="13056" width="22.71094" customWidth="1" style="11"/>
    <col min="13057" max="13057" width="26.28516" customWidth="1" style="11"/>
    <col min="13058" max="13058" width="34" customWidth="1" style="11"/>
    <col min="13059" max="13059" width="33.28516" customWidth="1" style="11"/>
    <col min="13060" max="13060" width="34.14063" customWidth="1" style="11"/>
    <col min="13061" max="13061" width="38.85547" customWidth="1" style="11"/>
    <col min="13062" max="13062" width="39.57031" customWidth="1" style="11"/>
    <col min="13063" max="13063" width="19.42578" customWidth="1" style="11"/>
    <col min="13064" max="13064" width="13.28516" customWidth="1" style="11"/>
    <col min="13065" max="13065" width="12.57031" customWidth="1" style="11"/>
    <col min="13066" max="13066" width="15.85547" customWidth="1" style="11"/>
    <col min="13067" max="13311" width="9.140625" customWidth="1" style="11"/>
    <col min="13312" max="13312" width="22.71094" customWidth="1" style="11"/>
    <col min="13313" max="13313" width="26.28516" customWidth="1" style="11"/>
    <col min="13314" max="13314" width="34" customWidth="1" style="11"/>
    <col min="13315" max="13315" width="33.28516" customWidth="1" style="11"/>
    <col min="13316" max="13316" width="34.14063" customWidth="1" style="11"/>
    <col min="13317" max="13317" width="38.85547" customWidth="1" style="11"/>
    <col min="13318" max="13318" width="39.57031" customWidth="1" style="11"/>
    <col min="13319" max="13319" width="19.42578" customWidth="1" style="11"/>
    <col min="13320" max="13320" width="13.28516" customWidth="1" style="11"/>
    <col min="13321" max="13321" width="12.57031" customWidth="1" style="11"/>
    <col min="13322" max="13322" width="15.85547" customWidth="1" style="11"/>
    <col min="13323" max="13567" width="9.140625" customWidth="1" style="11"/>
    <col min="13568" max="13568" width="22.71094" customWidth="1" style="11"/>
    <col min="13569" max="13569" width="26.28516" customWidth="1" style="11"/>
    <col min="13570" max="13570" width="34" customWidth="1" style="11"/>
    <col min="13571" max="13571" width="33.28516" customWidth="1" style="11"/>
    <col min="13572" max="13572" width="34.14063" customWidth="1" style="11"/>
    <col min="13573" max="13573" width="38.85547" customWidth="1" style="11"/>
    <col min="13574" max="13574" width="39.57031" customWidth="1" style="11"/>
    <col min="13575" max="13575" width="19.42578" customWidth="1" style="11"/>
    <col min="13576" max="13576" width="13.28516" customWidth="1" style="11"/>
    <col min="13577" max="13577" width="12.57031" customWidth="1" style="11"/>
    <col min="13578" max="13578" width="15.85547" customWidth="1" style="11"/>
    <col min="13579" max="13823" width="9.140625" customWidth="1" style="11"/>
    <col min="13824" max="13824" width="22.71094" customWidth="1" style="11"/>
    <col min="13825" max="13825" width="26.28516" customWidth="1" style="11"/>
    <col min="13826" max="13826" width="34" customWidth="1" style="11"/>
    <col min="13827" max="13827" width="33.28516" customWidth="1" style="11"/>
    <col min="13828" max="13828" width="34.14063" customWidth="1" style="11"/>
    <col min="13829" max="13829" width="38.85547" customWidth="1" style="11"/>
    <col min="13830" max="13830" width="39.57031" customWidth="1" style="11"/>
    <col min="13831" max="13831" width="19.42578" customWidth="1" style="11"/>
    <col min="13832" max="13832" width="13.28516" customWidth="1" style="11"/>
    <col min="13833" max="13833" width="12.57031" customWidth="1" style="11"/>
    <col min="13834" max="13834" width="15.85547" customWidth="1" style="11"/>
    <col min="13835" max="14079" width="9.140625" customWidth="1" style="11"/>
    <col min="14080" max="14080" width="22.71094" customWidth="1" style="11"/>
    <col min="14081" max="14081" width="26.28516" customWidth="1" style="11"/>
    <col min="14082" max="14082" width="34" customWidth="1" style="11"/>
    <col min="14083" max="14083" width="33.28516" customWidth="1" style="11"/>
    <col min="14084" max="14084" width="34.14063" customWidth="1" style="11"/>
    <col min="14085" max="14085" width="38.85547" customWidth="1" style="11"/>
    <col min="14086" max="14086" width="39.57031" customWidth="1" style="11"/>
    <col min="14087" max="14087" width="19.42578" customWidth="1" style="11"/>
    <col min="14088" max="14088" width="13.28516" customWidth="1" style="11"/>
    <col min="14089" max="14089" width="12.57031" customWidth="1" style="11"/>
    <col min="14090" max="14090" width="15.85547" customWidth="1" style="11"/>
    <col min="14091" max="14335" width="9.140625" customWidth="1" style="11"/>
    <col min="14336" max="14336" width="22.71094" customWidth="1" style="11"/>
    <col min="14337" max="14337" width="26.28516" customWidth="1" style="11"/>
    <col min="14338" max="14338" width="34" customWidth="1" style="11"/>
    <col min="14339" max="14339" width="33.28516" customWidth="1" style="11"/>
    <col min="14340" max="14340" width="34.14063" customWidth="1" style="11"/>
    <col min="14341" max="14341" width="38.85547" customWidth="1" style="11"/>
    <col min="14342" max="14342" width="39.57031" customWidth="1" style="11"/>
    <col min="14343" max="14343" width="19.42578" customWidth="1" style="11"/>
    <col min="14344" max="14344" width="13.28516" customWidth="1" style="11"/>
    <col min="14345" max="14345" width="12.57031" customWidth="1" style="11"/>
    <col min="14346" max="14346" width="15.85547" customWidth="1" style="11"/>
    <col min="14347" max="14591" width="9.140625" customWidth="1" style="11"/>
    <col min="14592" max="14592" width="22.71094" customWidth="1" style="11"/>
    <col min="14593" max="14593" width="26.28516" customWidth="1" style="11"/>
    <col min="14594" max="14594" width="34" customWidth="1" style="11"/>
    <col min="14595" max="14595" width="33.28516" customWidth="1" style="11"/>
    <col min="14596" max="14596" width="34.14063" customWidth="1" style="11"/>
    <col min="14597" max="14597" width="38.85547" customWidth="1" style="11"/>
    <col min="14598" max="14598" width="39.57031" customWidth="1" style="11"/>
    <col min="14599" max="14599" width="19.42578" customWidth="1" style="11"/>
    <col min="14600" max="14600" width="13.28516" customWidth="1" style="11"/>
    <col min="14601" max="14601" width="12.57031" customWidth="1" style="11"/>
    <col min="14602" max="14602" width="15.85547" customWidth="1" style="11"/>
    <col min="14603" max="14847" width="9.140625" customWidth="1" style="11"/>
    <col min="14848" max="14848" width="22.71094" customWidth="1" style="11"/>
    <col min="14849" max="14849" width="26.28516" customWidth="1" style="11"/>
    <col min="14850" max="14850" width="34" customWidth="1" style="11"/>
    <col min="14851" max="14851" width="33.28516" customWidth="1" style="11"/>
    <col min="14852" max="14852" width="34.14063" customWidth="1" style="11"/>
    <col min="14853" max="14853" width="38.85547" customWidth="1" style="11"/>
    <col min="14854" max="14854" width="39.57031" customWidth="1" style="11"/>
    <col min="14855" max="14855" width="19.42578" customWidth="1" style="11"/>
    <col min="14856" max="14856" width="13.28516" customWidth="1" style="11"/>
    <col min="14857" max="14857" width="12.57031" customWidth="1" style="11"/>
    <col min="14858" max="14858" width="15.85547" customWidth="1" style="11"/>
    <col min="14859" max="15103" width="9.140625" customWidth="1" style="11"/>
    <col min="15104" max="15104" width="22.71094" customWidth="1" style="11"/>
    <col min="15105" max="15105" width="26.28516" customWidth="1" style="11"/>
    <col min="15106" max="15106" width="34" customWidth="1" style="11"/>
    <col min="15107" max="15107" width="33.28516" customWidth="1" style="11"/>
    <col min="15108" max="15108" width="34.14063" customWidth="1" style="11"/>
    <col min="15109" max="15109" width="38.85547" customWidth="1" style="11"/>
    <col min="15110" max="15110" width="39.57031" customWidth="1" style="11"/>
    <col min="15111" max="15111" width="19.42578" customWidth="1" style="11"/>
    <col min="15112" max="15112" width="13.28516" customWidth="1" style="11"/>
    <col min="15113" max="15113" width="12.57031" customWidth="1" style="11"/>
    <col min="15114" max="15114" width="15.85547" customWidth="1" style="11"/>
    <col min="15115" max="15359" width="9.140625" customWidth="1" style="11"/>
    <col min="15360" max="15360" width="22.71094" customWidth="1" style="11"/>
    <col min="15361" max="15361" width="26.28516" customWidth="1" style="11"/>
    <col min="15362" max="15362" width="34" customWidth="1" style="11"/>
    <col min="15363" max="15363" width="33.28516" customWidth="1" style="11"/>
    <col min="15364" max="15364" width="34.14063" customWidth="1" style="11"/>
    <col min="15365" max="15365" width="38.85547" customWidth="1" style="11"/>
    <col min="15366" max="15366" width="39.57031" customWidth="1" style="11"/>
    <col min="15367" max="15367" width="19.42578" customWidth="1" style="11"/>
    <col min="15368" max="15368" width="13.28516" customWidth="1" style="11"/>
    <col min="15369" max="15369" width="12.57031" customWidth="1" style="11"/>
    <col min="15370" max="15370" width="15.85547" customWidth="1" style="11"/>
    <col min="15371" max="15615" width="9.140625" customWidth="1" style="11"/>
    <col min="15616" max="15616" width="22.71094" customWidth="1" style="11"/>
    <col min="15617" max="15617" width="26.28516" customWidth="1" style="11"/>
    <col min="15618" max="15618" width="34" customWidth="1" style="11"/>
    <col min="15619" max="15619" width="33.28516" customWidth="1" style="11"/>
    <col min="15620" max="15620" width="34.14063" customWidth="1" style="11"/>
    <col min="15621" max="15621" width="38.85547" customWidth="1" style="11"/>
    <col min="15622" max="15622" width="39.57031" customWidth="1" style="11"/>
    <col min="15623" max="15623" width="19.42578" customWidth="1" style="11"/>
    <col min="15624" max="15624" width="13.28516" customWidth="1" style="11"/>
    <col min="15625" max="15625" width="12.57031" customWidth="1" style="11"/>
    <col min="15626" max="15626" width="15.85547" customWidth="1" style="11"/>
    <col min="15627" max="15871" width="9.140625" customWidth="1" style="11"/>
    <col min="15872" max="15872" width="22.71094" customWidth="1" style="11"/>
    <col min="15873" max="15873" width="26.28516" customWidth="1" style="11"/>
    <col min="15874" max="15874" width="34" customWidth="1" style="11"/>
    <col min="15875" max="15875" width="33.28516" customWidth="1" style="11"/>
    <col min="15876" max="15876" width="34.14063" customWidth="1" style="11"/>
    <col min="15877" max="15877" width="38.85547" customWidth="1" style="11"/>
    <col min="15878" max="15878" width="39.57031" customWidth="1" style="11"/>
    <col min="15879" max="15879" width="19.42578" customWidth="1" style="11"/>
    <col min="15880" max="15880" width="13.28516" customWidth="1" style="11"/>
    <col min="15881" max="15881" width="12.57031" customWidth="1" style="11"/>
    <col min="15882" max="15882" width="15.85547" customWidth="1" style="11"/>
    <col min="15883" max="16127" width="9.140625" customWidth="1" style="11"/>
    <col min="16128" max="16128" width="22.71094" customWidth="1" style="11"/>
    <col min="16129" max="16129" width="26.28516" customWidth="1" style="11"/>
    <col min="16130" max="16130" width="34" customWidth="1" style="11"/>
    <col min="16131" max="16131" width="33.28516" customWidth="1" style="11"/>
    <col min="16132" max="16132" width="34.14063" customWidth="1" style="11"/>
    <col min="16133" max="16133" width="38.85547" customWidth="1" style="11"/>
    <col min="16134" max="16134" width="39.57031" customWidth="1" style="11"/>
    <col min="16135" max="16135" width="19.42578" customWidth="1" style="11"/>
    <col min="16136" max="16136" width="13.28516" customWidth="1" style="11"/>
    <col min="16137" max="16137" width="12.57031" customWidth="1" style="11"/>
    <col min="16138" max="16138" width="15.85547" customWidth="1" style="11"/>
    <col min="16139" max="16384" width="9.140625" customWidth="1" style="11"/>
  </cols>
  <sheetData>
    <row r="1" ht="21" customHeight="true">
      <c r="A1" s="39" t="s">
        <v>133</v>
      </c>
      <c r="B1" s="39"/>
      <c r="I1" s="56"/>
    </row>
    <row r="2" ht="21" customHeight="true">
      <c r="A2" s="40" t="s">
        <v>119</v>
      </c>
      <c r="B2" s="41" t="s">
        <v>4</v>
      </c>
      <c r="D2" s="41"/>
      <c r="E2" s="41"/>
      <c r="F2" s="41"/>
      <c r="G2" s="41"/>
      <c r="I2" s="56"/>
    </row>
    <row r="3" ht="21" customHeight="true">
      <c r="A3" s="40" t="s">
        <v>120</v>
      </c>
      <c r="B3" s="42" t="s">
        <v>5</v>
      </c>
      <c r="I3" s="57"/>
    </row>
    <row r="4" ht="21" customHeight="true">
      <c r="A4" s="40" t="s">
        <v>121</v>
      </c>
      <c r="B4" s="42"/>
      <c r="I4" s="57"/>
    </row>
    <row r="5" ht="21" customHeight="true">
      <c r="A5" s="40" t="s">
        <v>122</v>
      </c>
      <c r="B5" s="42"/>
      <c r="I5" s="57"/>
    </row>
    <row r="6" ht="21" customHeight="true">
      <c r="A6" s="40" t="s">
        <v>123</v>
      </c>
      <c r="B6" s="42"/>
      <c r="I6" s="57"/>
    </row>
    <row r="7" ht="21" customHeight="true">
      <c r="A7" s="40" t="s">
        <v>124</v>
      </c>
      <c r="B7" s="43">
        <v>44435.394881446766</v>
      </c>
      <c r="I7" s="57"/>
    </row>
    <row r="8" ht="21" customHeight="true">
      <c r="A8" s="40"/>
      <c r="B8" s="42"/>
      <c r="I8" s="57"/>
    </row>
    <row r="9" ht="21" customHeight="true" customFormat="true" s="58">
      <c r="A9" s="59" t="s">
        <v>134</v>
      </c>
      <c r="C9" s="38"/>
      <c r="D9" s="38"/>
      <c r="E9" s="38"/>
      <c r="F9" s="38"/>
      <c r="G9" s="38"/>
      <c r="H9" s="38"/>
      <c r="I9" s="11"/>
      <c r="J9" s="11"/>
    </row>
    <row r="10" ht="21" customHeight="true" customFormat="true" s="60">
      <c r="A10" s="61" t="s">
        <v>126</v>
      </c>
      <c r="B10" s="62" t="s">
        <v>127</v>
      </c>
      <c r="C10" s="62" t="s">
        <v>135</v>
      </c>
      <c r="D10" s="63" t="s">
        <v>136</v>
      </c>
      <c r="E10" s="64"/>
      <c r="F10" s="65"/>
      <c r="G10" s="62" t="s">
        <v>87</v>
      </c>
      <c r="H10" s="62" t="s">
        <v>98</v>
      </c>
      <c r="I10" s="62" t="s">
        <v>99</v>
      </c>
      <c r="J10" s="66" t="s">
        <v>103</v>
      </c>
    </row>
    <row r="11" ht="21" customHeight="true">
      <c r="A11" s="67" t="s">
        <v>67</v>
      </c>
      <c r="B11" s="68" t="s">
        <v>68</v>
      </c>
      <c r="C11" s="68" t="s">
        <v>71</v>
      </c>
      <c r="D11" s="69" t="s">
        <v>72</v>
      </c>
      <c r="E11" s="70"/>
      <c r="F11" s="71"/>
      <c r="G11" s="72">
        <v>1</v>
      </c>
      <c r="H11" s="68">
        <v>386</v>
      </c>
      <c r="I11" s="68">
        <v>300</v>
      </c>
      <c r="J11" s="73">
        <v>27</v>
      </c>
    </row>
    <row r="12" ht="21" customHeight="true">
      <c r="A12" s="74"/>
      <c r="B12" s="74"/>
      <c r="C12" s="74"/>
      <c r="D12" s="75"/>
      <c r="E12" s="75"/>
      <c r="F12" s="75"/>
      <c r="G12" s="76">
        <f ca="1">SUM(G11)</f>
        <v>1</v>
      </c>
      <c r="H12" s="74"/>
      <c r="I12" s="74"/>
      <c r="J12" s="74"/>
    </row>
    <row r="13" ht="21" customHeight="true" customFormat="true" s="58">
      <c r="A13" s="59" t="s">
        <v>137</v>
      </c>
      <c r="C13" s="38"/>
      <c r="D13" s="38"/>
      <c r="E13" s="38"/>
      <c r="F13" s="38"/>
      <c r="G13" s="38"/>
      <c r="H13" s="38"/>
      <c r="I13" s="11"/>
      <c r="J13" s="11"/>
    </row>
    <row r="14" ht="21" customHeight="true" customFormat="true" s="60">
      <c r="A14" s="61" t="s">
        <v>126</v>
      </c>
      <c r="B14" s="62" t="s">
        <v>127</v>
      </c>
      <c r="C14" s="62" t="s">
        <v>135</v>
      </c>
      <c r="D14" s="63" t="s">
        <v>136</v>
      </c>
      <c r="E14" s="64"/>
      <c r="F14" s="65"/>
      <c r="G14" s="62" t="s">
        <v>87</v>
      </c>
      <c r="H14" s="62" t="s">
        <v>98</v>
      </c>
      <c r="I14" s="62" t="s">
        <v>99</v>
      </c>
      <c r="J14" s="66" t="s">
        <v>103</v>
      </c>
    </row>
    <row r="15" ht="21" customHeight="true">
      <c r="A15" s="77" t="s">
        <v>8</v>
      </c>
      <c r="B15" s="78" t="s">
        <v>9</v>
      </c>
      <c r="C15" s="78" t="s">
        <v>14</v>
      </c>
      <c r="D15" s="79" t="s">
        <v>15</v>
      </c>
      <c r="E15" s="80"/>
      <c r="F15" s="81"/>
      <c r="G15" s="82">
        <v>1</v>
      </c>
      <c r="H15" s="78">
        <v>497</v>
      </c>
      <c r="I15" s="78">
        <v>301</v>
      </c>
      <c r="J15" s="83">
        <v>37</v>
      </c>
    </row>
    <row r="16" ht="21" customHeight="true">
      <c r="A16" s="77" t="s">
        <v>31</v>
      </c>
      <c r="B16" s="78" t="s">
        <v>32</v>
      </c>
      <c r="C16" s="78" t="s">
        <v>14</v>
      </c>
      <c r="D16" s="79" t="s">
        <v>15</v>
      </c>
      <c r="E16" s="80"/>
      <c r="F16" s="81"/>
      <c r="G16" s="82">
        <v>1</v>
      </c>
      <c r="H16" s="78">
        <v>710</v>
      </c>
      <c r="I16" s="78">
        <v>301</v>
      </c>
      <c r="J16" s="83">
        <v>37</v>
      </c>
    </row>
    <row r="17" ht="21" customHeight="true">
      <c r="A17" s="77" t="s">
        <v>43</v>
      </c>
      <c r="B17" s="78" t="s">
        <v>44</v>
      </c>
      <c r="C17" s="78" t="s">
        <v>14</v>
      </c>
      <c r="D17" s="79" t="s">
        <v>15</v>
      </c>
      <c r="E17" s="80"/>
      <c r="F17" s="81"/>
      <c r="G17" s="82">
        <v>1</v>
      </c>
      <c r="H17" s="78">
        <v>453</v>
      </c>
      <c r="I17" s="78">
        <v>301</v>
      </c>
      <c r="J17" s="83">
        <v>37</v>
      </c>
    </row>
    <row r="18" ht="21" customHeight="true">
      <c r="A18" s="67" t="s">
        <v>55</v>
      </c>
      <c r="B18" s="68" t="s">
        <v>56</v>
      </c>
      <c r="C18" s="68" t="s">
        <v>14</v>
      </c>
      <c r="D18" s="69" t="s">
        <v>15</v>
      </c>
      <c r="E18" s="70"/>
      <c r="F18" s="71"/>
      <c r="G18" s="72">
        <v>1</v>
      </c>
      <c r="H18" s="68">
        <v>452</v>
      </c>
      <c r="I18" s="68">
        <v>301</v>
      </c>
      <c r="J18" s="73">
        <v>37</v>
      </c>
    </row>
    <row r="19" ht="21" customHeight="true">
      <c r="A19" s="84"/>
      <c r="B19" s="84"/>
      <c r="C19" s="84"/>
      <c r="D19" s="75"/>
      <c r="E19" s="75"/>
      <c r="F19" s="75"/>
      <c r="G19" s="85">
        <f ca="1">SUM(G15:G18)</f>
        <v>4</v>
      </c>
      <c r="H19" s="84"/>
      <c r="I19" s="84"/>
      <c r="J19" s="84"/>
    </row>
    <row r="20" ht="21" customHeight="true">
      <c r="A20" s="59" t="s">
        <v>88</v>
      </c>
      <c r="C20" s="38"/>
      <c r="D20" s="38"/>
      <c r="E20" s="38"/>
      <c r="F20" s="38"/>
    </row>
    <row r="21" ht="21" customHeight="true" customFormat="true" s="60">
      <c r="A21" s="61" t="s">
        <v>126</v>
      </c>
      <c r="B21" s="62" t="s">
        <v>127</v>
      </c>
      <c r="C21" s="66" t="s">
        <v>87</v>
      </c>
      <c r="D21" s="86"/>
      <c r="E21" s="86"/>
      <c r="F21" s="86"/>
    </row>
    <row r="22" ht="21" customHeight="true">
      <c r="A22" s="77" t="s">
        <v>77</v>
      </c>
      <c r="B22" s="78" t="s">
        <v>78</v>
      </c>
      <c r="C22" s="87">
        <v>20</v>
      </c>
      <c r="D22" s="88"/>
      <c r="E22" s="88"/>
      <c r="F22" s="88"/>
      <c r="G22" s="11"/>
      <c r="H22" s="11"/>
      <c r="I22" s="11"/>
      <c r="J22" s="11"/>
    </row>
    <row r="23" ht="21" customHeight="true">
      <c r="A23" s="77" t="s">
        <v>80</v>
      </c>
      <c r="B23" s="78" t="s">
        <v>81</v>
      </c>
      <c r="C23" s="87">
        <v>8</v>
      </c>
      <c r="D23" s="88"/>
      <c r="E23" s="88"/>
      <c r="F23" s="88"/>
      <c r="G23" s="11"/>
      <c r="H23" s="11"/>
      <c r="I23" s="11"/>
      <c r="J23" s="11"/>
    </row>
    <row r="24" ht="21" customHeight="true">
      <c r="A24" s="77" t="s">
        <v>82</v>
      </c>
      <c r="B24" s="78" t="s">
        <v>83</v>
      </c>
      <c r="C24" s="87">
        <v>20</v>
      </c>
      <c r="D24" s="88"/>
      <c r="E24" s="88"/>
      <c r="F24" s="88"/>
      <c r="G24" s="11"/>
      <c r="H24" s="11"/>
      <c r="I24" s="11"/>
      <c r="J24" s="11"/>
    </row>
    <row r="25" ht="21" customHeight="true">
      <c r="A25" s="67" t="s">
        <v>80</v>
      </c>
      <c r="B25" s="68" t="s">
        <v>84</v>
      </c>
      <c r="C25" s="89">
        <v>4</v>
      </c>
      <c r="D25" s="88"/>
      <c r="E25" s="88"/>
      <c r="F25" s="88"/>
      <c r="G25" s="11"/>
      <c r="H25" s="11"/>
      <c r="I25" s="11"/>
      <c r="J25" s="11"/>
    </row>
    <row r="26" ht="21" customHeight="true">
      <c r="A26" s="84"/>
      <c r="B26" s="84"/>
      <c r="C26" s="85">
        <f ca="1">SUM(C22:C25)</f>
        <v>52</v>
      </c>
      <c r="D26" s="88"/>
      <c r="E26" s="88"/>
      <c r="F26" s="88"/>
    </row>
  </sheetData>
  <mergeCells count="10">
    <mergeCell ref="D10:F10"/>
    <mergeCell ref="D14:F14"/>
    <mergeCell ref="A1:B1"/>
    <mergeCell ref="D11:F11"/>
    <mergeCell ref="D12:F12"/>
    <mergeCell ref="D15:F15"/>
    <mergeCell ref="D16:F16"/>
    <mergeCell ref="D17:F17"/>
    <mergeCell ref="D18:F18"/>
    <mergeCell ref="D19:F19"/>
  </mergeCells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xl/worksheets/sheet6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6"/>
  <dimension ref="A1:U31"/>
  <sheetViews>
    <sheetView tabSelected="1" workbookViewId="0" topLeftCell="A1" zoomScaleNormal="100" zoomScaleSheetLayoutView="60" zoomScale="100" view="normal">
      <selection activeCell="C33" sqref="C33"/>
    </sheetView>
  </sheetViews>
  <sheetFormatPr defaultRowHeight="15"/>
  <cols>
    <col min="1" max="1" width="33.71094" customWidth="1"/>
    <col min="2" max="2" width="34" customWidth="1"/>
    <col min="3" max="3" width="33.28516" customWidth="1"/>
    <col min="4" max="4" width="34.14063" customWidth="1"/>
    <col min="5" max="5" width="38.85547" customWidth="1"/>
    <col min="6" max="6" width="39.57031" customWidth="1"/>
    <col min="7" max="7" width="37.42578" customWidth="1"/>
    <col min="8" max="8" width="36.71094" customWidth="1"/>
    <col min="9" max="9" width="15" customWidth="1"/>
    <col min="10" max="10" width="26.57031" customWidth="1"/>
    <col min="11" max="11" width="26" customWidth="1"/>
    <col min="12" max="12" width="45.42578" customWidth="1"/>
    <col min="13" max="13" width="46.71094" customWidth="1"/>
    <col min="14" max="14" width="46.85547" customWidth="1"/>
    <col min="15" max="15" width="46" customWidth="1"/>
  </cols>
  <sheetData>
    <row r="1" ht="21" customFormat="true" s="11">
      <c r="A1" s="90" t="s">
        <v>138</v>
      </c>
      <c r="B1" s="91"/>
    </row>
    <row r="2" customFormat="true" s="11">
      <c r="A2" s="40" t="s">
        <v>119</v>
      </c>
      <c r="B2" s="41" t="s">
        <v>4</v>
      </c>
    </row>
    <row r="3" customFormat="true" s="11">
      <c r="A3" s="40" t="s">
        <v>120</v>
      </c>
      <c r="B3" s="42" t="s">
        <v>5</v>
      </c>
      <c r="D3" s="41"/>
      <c r="E3" s="41"/>
      <c r="F3" s="41"/>
      <c r="G3" s="41"/>
      <c r="H3" s="41"/>
      <c r="I3" s="41"/>
      <c r="J3" s="41"/>
      <c r="K3" s="41"/>
    </row>
    <row r="4" customFormat="true" s="11">
      <c r="A4" s="40" t="s">
        <v>121</v>
      </c>
      <c r="B4" s="42"/>
    </row>
    <row r="5" customFormat="true" s="11">
      <c r="A5" s="40" t="s">
        <v>122</v>
      </c>
      <c r="B5" s="42"/>
    </row>
    <row r="6" customFormat="true" s="11">
      <c r="A6" s="40" t="s">
        <v>123</v>
      </c>
      <c r="B6" s="42"/>
    </row>
    <row r="7" customFormat="true" s="11">
      <c r="A7" s="40" t="s">
        <v>124</v>
      </c>
      <c r="B7" s="43">
        <v>44435.394881446766</v>
      </c>
      <c r="C7" s="44"/>
    </row>
    <row r="8" customFormat="true" s="11">
      <c r="A8" s="40"/>
      <c r="B8" s="42"/>
      <c r="C8" s="11"/>
    </row>
    <row r="9" ht="19.5" customFormat="true" s="11">
      <c r="A9" s="59" t="s">
        <v>139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ht="15.75" customFormat="true" s="60">
      <c r="A10" s="61" t="s">
        <v>126</v>
      </c>
      <c r="B10" s="62" t="s">
        <v>127</v>
      </c>
      <c r="C10" s="62" t="s">
        <v>140</v>
      </c>
      <c r="D10" s="63" t="s">
        <v>141</v>
      </c>
      <c r="E10" s="64"/>
      <c r="F10" s="65"/>
      <c r="G10" s="62" t="s">
        <v>103</v>
      </c>
      <c r="H10" s="62" t="s">
        <v>142</v>
      </c>
      <c r="I10" s="62" t="s">
        <v>87</v>
      </c>
      <c r="J10" s="62" t="s">
        <v>98</v>
      </c>
      <c r="K10" s="62" t="s">
        <v>99</v>
      </c>
      <c r="L10" s="62" t="s">
        <v>143</v>
      </c>
      <c r="M10" s="62" t="s">
        <v>144</v>
      </c>
      <c r="N10" s="62" t="s">
        <v>145</v>
      </c>
      <c r="O10" s="66" t="s">
        <v>146</v>
      </c>
    </row>
    <row r="11" customFormat="true" s="11">
      <c r="A11" s="92" t="s">
        <v>67</v>
      </c>
      <c r="B11" s="93" t="s">
        <v>68</v>
      </c>
      <c r="C11" s="93" t="s">
        <v>71</v>
      </c>
      <c r="D11" s="94" t="s">
        <v>72</v>
      </c>
      <c r="E11" s="95"/>
      <c r="F11" s="96"/>
      <c r="G11" s="93">
        <v>26</v>
      </c>
      <c r="H11" s="93" t="b">
        <v>0</v>
      </c>
      <c r="I11" s="72">
        <v>1</v>
      </c>
      <c r="J11" s="93">
        <v>386</v>
      </c>
      <c r="K11" s="93">
        <v>299</v>
      </c>
      <c r="L11" s="93"/>
      <c r="M11" s="93"/>
      <c r="N11" s="93" t="s">
        <v>147</v>
      </c>
      <c r="O11" s="97" t="s">
        <v>147</v>
      </c>
    </row>
    <row r="12" ht="19.5" customFormat="true" s="11">
      <c r="A12" s="59" t="s">
        <v>148</v>
      </c>
      <c r="B12" s="59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ht="15.75" customFormat="true" s="60">
      <c r="A13" s="61" t="s">
        <v>126</v>
      </c>
      <c r="B13" s="62" t="s">
        <v>127</v>
      </c>
      <c r="C13" s="62" t="s">
        <v>140</v>
      </c>
      <c r="D13" s="63" t="s">
        <v>141</v>
      </c>
      <c r="E13" s="64"/>
      <c r="F13" s="65"/>
      <c r="G13" s="62" t="s">
        <v>103</v>
      </c>
      <c r="H13" s="62" t="s">
        <v>142</v>
      </c>
      <c r="I13" s="62" t="s">
        <v>87</v>
      </c>
      <c r="J13" s="62" t="s">
        <v>98</v>
      </c>
      <c r="K13" s="62" t="s">
        <v>99</v>
      </c>
      <c r="L13" s="62" t="s">
        <v>143</v>
      </c>
      <c r="M13" s="62" t="s">
        <v>144</v>
      </c>
      <c r="N13" s="62" t="s">
        <v>145</v>
      </c>
      <c r="O13" s="66" t="s">
        <v>146</v>
      </c>
    </row>
    <row r="14" customFormat="true" s="11">
      <c r="A14" s="98" t="s">
        <v>8</v>
      </c>
      <c r="B14" s="99" t="s">
        <v>9</v>
      </c>
      <c r="C14" s="99" t="s">
        <v>14</v>
      </c>
      <c r="D14" s="100" t="s">
        <v>15</v>
      </c>
      <c r="E14" s="101"/>
      <c r="F14" s="102"/>
      <c r="G14" s="99">
        <v>37</v>
      </c>
      <c r="H14" s="99" t="b">
        <v>1</v>
      </c>
      <c r="I14" s="82">
        <v>1</v>
      </c>
      <c r="J14" s="82">
        <v>497</v>
      </c>
      <c r="K14" s="82">
        <v>300</v>
      </c>
      <c r="L14" s="99"/>
      <c r="M14" s="99"/>
      <c r="N14" s="99" t="s">
        <v>147</v>
      </c>
      <c r="O14" s="103" t="s">
        <v>147</v>
      </c>
    </row>
    <row r="15" customFormat="true" s="11">
      <c r="A15" s="98" t="s">
        <v>31</v>
      </c>
      <c r="B15" s="99" t="s">
        <v>32</v>
      </c>
      <c r="C15" s="99" t="s">
        <v>14</v>
      </c>
      <c r="D15" s="100" t="s">
        <v>15</v>
      </c>
      <c r="E15" s="101"/>
      <c r="F15" s="102"/>
      <c r="G15" s="99">
        <v>37</v>
      </c>
      <c r="H15" s="99" t="b">
        <v>1</v>
      </c>
      <c r="I15" s="82">
        <v>1</v>
      </c>
      <c r="J15" s="82">
        <v>710</v>
      </c>
      <c r="K15" s="82">
        <v>300</v>
      </c>
      <c r="L15" s="99"/>
      <c r="M15" s="99"/>
      <c r="N15" s="99" t="s">
        <v>147</v>
      </c>
      <c r="O15" s="103" t="s">
        <v>147</v>
      </c>
    </row>
    <row r="16" customFormat="true" s="11">
      <c r="A16" s="98" t="s">
        <v>43</v>
      </c>
      <c r="B16" s="99" t="s">
        <v>44</v>
      </c>
      <c r="C16" s="99" t="s">
        <v>14</v>
      </c>
      <c r="D16" s="100" t="s">
        <v>15</v>
      </c>
      <c r="E16" s="101"/>
      <c r="F16" s="102"/>
      <c r="G16" s="99">
        <v>37</v>
      </c>
      <c r="H16" s="99" t="b">
        <v>1</v>
      </c>
      <c r="I16" s="82">
        <v>1</v>
      </c>
      <c r="J16" s="82">
        <v>453</v>
      </c>
      <c r="K16" s="82">
        <v>300</v>
      </c>
      <c r="L16" s="99"/>
      <c r="M16" s="99"/>
      <c r="N16" s="99" t="s">
        <v>147</v>
      </c>
      <c r="O16" s="103" t="s">
        <v>147</v>
      </c>
    </row>
    <row r="17" customFormat="true" s="11">
      <c r="A17" s="92" t="s">
        <v>55</v>
      </c>
      <c r="B17" s="93" t="s">
        <v>56</v>
      </c>
      <c r="C17" s="93" t="s">
        <v>14</v>
      </c>
      <c r="D17" s="94" t="s">
        <v>15</v>
      </c>
      <c r="E17" s="95"/>
      <c r="F17" s="96"/>
      <c r="G17" s="93">
        <v>37</v>
      </c>
      <c r="H17" s="93" t="b">
        <v>1</v>
      </c>
      <c r="I17" s="72">
        <v>1</v>
      </c>
      <c r="J17" s="72">
        <v>452</v>
      </c>
      <c r="K17" s="72">
        <v>300</v>
      </c>
      <c r="L17" s="93"/>
      <c r="M17" s="93"/>
      <c r="N17" s="93" t="s">
        <v>147</v>
      </c>
      <c r="O17" s="97" t="s">
        <v>147</v>
      </c>
    </row>
    <row r="18" ht="19.5" customFormat="true" s="11">
      <c r="A18" s="59" t="s">
        <v>149</v>
      </c>
      <c r="B18" s="59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ht="15.75" customFormat="true" s="60">
      <c r="A19" s="61" t="s">
        <v>126</v>
      </c>
      <c r="B19" s="62" t="s">
        <v>127</v>
      </c>
      <c r="C19" s="62" t="s">
        <v>140</v>
      </c>
      <c r="D19" s="62" t="s">
        <v>141</v>
      </c>
      <c r="E19" s="62" t="s">
        <v>150</v>
      </c>
      <c r="F19" s="62" t="s">
        <v>151</v>
      </c>
      <c r="G19" s="62" t="s">
        <v>103</v>
      </c>
      <c r="H19" s="62" t="s">
        <v>142</v>
      </c>
      <c r="I19" s="62" t="s">
        <v>98</v>
      </c>
      <c r="J19" s="62" t="s">
        <v>99</v>
      </c>
      <c r="K19" s="104" t="s">
        <v>103</v>
      </c>
      <c r="N19" s="86"/>
      <c r="O19" s="86"/>
    </row>
    <row r="20" customFormat="true" s="11">
      <c r="A20" s="98" t="s">
        <v>28</v>
      </c>
      <c r="B20" s="99" t="s">
        <v>29</v>
      </c>
      <c r="C20" s="99" t="s">
        <v>20</v>
      </c>
      <c r="D20" s="99" t="s">
        <v>20</v>
      </c>
      <c r="E20" s="99" t="s">
        <v>147</v>
      </c>
      <c r="F20" s="99" t="s">
        <v>147</v>
      </c>
      <c r="G20" s="99">
        <v>0.5</v>
      </c>
      <c r="H20" s="99" t="b">
        <v>1</v>
      </c>
      <c r="I20" s="82">
        <v>497</v>
      </c>
      <c r="J20" s="82">
        <v>37</v>
      </c>
      <c r="K20" s="105">
        <v>0.5</v>
      </c>
      <c r="L20" s="11"/>
      <c r="M20" s="11"/>
      <c r="N20" s="35"/>
      <c r="O20" s="35"/>
      <c r="Q20" s="38"/>
      <c r="R20" s="38"/>
      <c r="S20" s="38"/>
      <c r="T20" s="38"/>
      <c r="U20" s="38"/>
    </row>
    <row r="21" customFormat="true" s="11">
      <c r="A21" s="98" t="s">
        <v>30</v>
      </c>
      <c r="B21" s="99" t="s">
        <v>29</v>
      </c>
      <c r="C21" s="99" t="s">
        <v>20</v>
      </c>
      <c r="D21" s="99" t="s">
        <v>20</v>
      </c>
      <c r="E21" s="99" t="s">
        <v>147</v>
      </c>
      <c r="F21" s="99" t="s">
        <v>147</v>
      </c>
      <c r="G21" s="99">
        <v>0.5</v>
      </c>
      <c r="H21" s="99" t="b">
        <v>1</v>
      </c>
      <c r="I21" s="82">
        <v>497</v>
      </c>
      <c r="J21" s="82">
        <v>37</v>
      </c>
      <c r="K21" s="105">
        <v>0.5</v>
      </c>
      <c r="L21" s="11"/>
      <c r="M21" s="11"/>
      <c r="N21" s="35"/>
      <c r="O21" s="35"/>
      <c r="Q21" s="38"/>
      <c r="R21" s="38"/>
      <c r="S21" s="38"/>
      <c r="T21" s="38"/>
      <c r="U21" s="38"/>
    </row>
    <row r="22" customFormat="true" s="11">
      <c r="A22" s="98" t="s">
        <v>40</v>
      </c>
      <c r="B22" s="99" t="s">
        <v>41</v>
      </c>
      <c r="C22" s="99" t="s">
        <v>20</v>
      </c>
      <c r="D22" s="99" t="s">
        <v>20</v>
      </c>
      <c r="E22" s="99" t="s">
        <v>147</v>
      </c>
      <c r="F22" s="99" t="s">
        <v>147</v>
      </c>
      <c r="G22" s="99">
        <v>0.5</v>
      </c>
      <c r="H22" s="99" t="b">
        <v>1</v>
      </c>
      <c r="I22" s="82">
        <v>710</v>
      </c>
      <c r="J22" s="82">
        <v>37</v>
      </c>
      <c r="K22" s="105">
        <v>0.5</v>
      </c>
      <c r="L22" s="11"/>
      <c r="M22" s="11"/>
      <c r="N22" s="35"/>
      <c r="O22" s="35"/>
      <c r="Q22" s="38"/>
      <c r="R22" s="38"/>
      <c r="S22" s="38"/>
      <c r="T22" s="38"/>
      <c r="U22" s="38"/>
    </row>
    <row r="23" customFormat="true" s="11">
      <c r="A23" s="98" t="s">
        <v>42</v>
      </c>
      <c r="B23" s="99" t="s">
        <v>41</v>
      </c>
      <c r="C23" s="99" t="s">
        <v>20</v>
      </c>
      <c r="D23" s="99" t="s">
        <v>20</v>
      </c>
      <c r="E23" s="99" t="s">
        <v>147</v>
      </c>
      <c r="F23" s="99" t="s">
        <v>147</v>
      </c>
      <c r="G23" s="99">
        <v>0.5</v>
      </c>
      <c r="H23" s="99" t="b">
        <v>1</v>
      </c>
      <c r="I23" s="82">
        <v>710</v>
      </c>
      <c r="J23" s="82">
        <v>37</v>
      </c>
      <c r="K23" s="105">
        <v>0.5</v>
      </c>
      <c r="L23" s="11"/>
      <c r="M23" s="11"/>
      <c r="N23" s="35"/>
      <c r="O23" s="35"/>
      <c r="Q23" s="38"/>
      <c r="R23" s="38"/>
      <c r="S23" s="38"/>
      <c r="T23" s="38"/>
      <c r="U23" s="38"/>
    </row>
    <row r="24" customFormat="true" s="11">
      <c r="A24" s="98" t="s">
        <v>52</v>
      </c>
      <c r="B24" s="99" t="s">
        <v>53</v>
      </c>
      <c r="C24" s="99" t="s">
        <v>20</v>
      </c>
      <c r="D24" s="99" t="s">
        <v>20</v>
      </c>
      <c r="E24" s="99" t="s">
        <v>147</v>
      </c>
      <c r="F24" s="99" t="s">
        <v>147</v>
      </c>
      <c r="G24" s="99">
        <v>0.5</v>
      </c>
      <c r="H24" s="99" t="b">
        <v>1</v>
      </c>
      <c r="I24" s="82">
        <v>453</v>
      </c>
      <c r="J24" s="82">
        <v>37</v>
      </c>
      <c r="K24" s="105">
        <v>0.5</v>
      </c>
      <c r="L24" s="11"/>
      <c r="M24" s="11"/>
      <c r="N24" s="35"/>
      <c r="O24" s="35"/>
      <c r="Q24" s="38"/>
      <c r="R24" s="38"/>
      <c r="S24" s="38"/>
      <c r="T24" s="38"/>
      <c r="U24" s="38"/>
    </row>
    <row r="25" customFormat="true" s="11">
      <c r="A25" s="98" t="s">
        <v>54</v>
      </c>
      <c r="B25" s="99" t="s">
        <v>53</v>
      </c>
      <c r="C25" s="99" t="s">
        <v>20</v>
      </c>
      <c r="D25" s="99" t="s">
        <v>20</v>
      </c>
      <c r="E25" s="99" t="s">
        <v>147</v>
      </c>
      <c r="F25" s="99" t="s">
        <v>147</v>
      </c>
      <c r="G25" s="99">
        <v>0.5</v>
      </c>
      <c r="H25" s="99" t="b">
        <v>1</v>
      </c>
      <c r="I25" s="82">
        <v>453</v>
      </c>
      <c r="J25" s="82">
        <v>37</v>
      </c>
      <c r="K25" s="105">
        <v>0.5</v>
      </c>
      <c r="L25" s="11"/>
      <c r="M25" s="11"/>
      <c r="N25" s="35"/>
      <c r="O25" s="35"/>
      <c r="Q25" s="38"/>
      <c r="R25" s="38"/>
      <c r="S25" s="38"/>
      <c r="T25" s="38"/>
      <c r="U25" s="38"/>
    </row>
    <row r="26" customFormat="true" s="11">
      <c r="A26" s="98" t="s">
        <v>64</v>
      </c>
      <c r="B26" s="99" t="s">
        <v>65</v>
      </c>
      <c r="C26" s="99" t="s">
        <v>20</v>
      </c>
      <c r="D26" s="99" t="s">
        <v>20</v>
      </c>
      <c r="E26" s="99" t="s">
        <v>147</v>
      </c>
      <c r="F26" s="99" t="s">
        <v>147</v>
      </c>
      <c r="G26" s="99">
        <v>0.5</v>
      </c>
      <c r="H26" s="99" t="b">
        <v>1</v>
      </c>
      <c r="I26" s="82">
        <v>452</v>
      </c>
      <c r="J26" s="82">
        <v>37</v>
      </c>
      <c r="K26" s="105">
        <v>0.5</v>
      </c>
      <c r="L26" s="11"/>
      <c r="M26" s="11"/>
      <c r="N26" s="35"/>
      <c r="O26" s="35"/>
      <c r="Q26" s="38"/>
      <c r="R26" s="38"/>
      <c r="S26" s="38"/>
      <c r="T26" s="38"/>
      <c r="U26" s="38"/>
    </row>
    <row r="27" customFormat="true" s="11">
      <c r="A27" s="98" t="s">
        <v>66</v>
      </c>
      <c r="B27" s="99" t="s">
        <v>65</v>
      </c>
      <c r="C27" s="99" t="s">
        <v>20</v>
      </c>
      <c r="D27" s="99" t="s">
        <v>20</v>
      </c>
      <c r="E27" s="99" t="s">
        <v>147</v>
      </c>
      <c r="F27" s="99" t="s">
        <v>147</v>
      </c>
      <c r="G27" s="99">
        <v>0.5</v>
      </c>
      <c r="H27" s="99" t="b">
        <v>1</v>
      </c>
      <c r="I27" s="82">
        <v>452</v>
      </c>
      <c r="J27" s="82">
        <v>37</v>
      </c>
      <c r="K27" s="105">
        <v>0.5</v>
      </c>
      <c r="L27" s="11"/>
      <c r="M27" s="11"/>
      <c r="N27" s="35"/>
      <c r="O27" s="35"/>
      <c r="Q27" s="38"/>
      <c r="R27" s="38"/>
      <c r="S27" s="38"/>
      <c r="T27" s="38"/>
      <c r="U27" s="38"/>
    </row>
    <row r="28" customFormat="true" s="11">
      <c r="A28" s="98" t="s">
        <v>73</v>
      </c>
      <c r="B28" s="99" t="s">
        <v>70</v>
      </c>
      <c r="C28" s="99" t="s">
        <v>20</v>
      </c>
      <c r="D28" s="99" t="s">
        <v>20</v>
      </c>
      <c r="E28" s="99" t="s">
        <v>152</v>
      </c>
      <c r="F28" s="99" t="s">
        <v>152</v>
      </c>
      <c r="G28" s="99">
        <v>0.5</v>
      </c>
      <c r="H28" s="99" t="b">
        <v>1</v>
      </c>
      <c r="I28" s="82">
        <v>382</v>
      </c>
      <c r="J28" s="82">
        <v>300</v>
      </c>
      <c r="K28" s="105">
        <v>0.5</v>
      </c>
      <c r="L28" s="11"/>
      <c r="M28" s="11"/>
      <c r="N28" s="35"/>
      <c r="O28" s="35"/>
      <c r="Q28" s="38"/>
      <c r="R28" s="38"/>
      <c r="S28" s="38"/>
      <c r="T28" s="38"/>
      <c r="U28" s="38"/>
    </row>
    <row r="29" customFormat="true" s="11">
      <c r="A29" s="98" t="s">
        <v>74</v>
      </c>
      <c r="B29" s="99" t="s">
        <v>70</v>
      </c>
      <c r="C29" s="99" t="s">
        <v>20</v>
      </c>
      <c r="D29" s="99" t="s">
        <v>20</v>
      </c>
      <c r="E29" s="99" t="s">
        <v>152</v>
      </c>
      <c r="F29" s="99" t="s">
        <v>152</v>
      </c>
      <c r="G29" s="99">
        <v>0.5</v>
      </c>
      <c r="H29" s="99" t="b">
        <v>1</v>
      </c>
      <c r="I29" s="82">
        <v>382</v>
      </c>
      <c r="J29" s="82">
        <v>300</v>
      </c>
      <c r="K29" s="105">
        <v>0.5</v>
      </c>
      <c r="L29" s="11"/>
      <c r="M29" s="11"/>
      <c r="N29" s="35"/>
      <c r="O29" s="35"/>
      <c r="Q29" s="38"/>
      <c r="R29" s="38"/>
      <c r="S29" s="38"/>
      <c r="T29" s="38"/>
      <c r="U29" s="38"/>
    </row>
    <row r="30" customFormat="true" s="11">
      <c r="A30" s="98" t="s">
        <v>75</v>
      </c>
      <c r="B30" s="99" t="s">
        <v>70</v>
      </c>
      <c r="C30" s="99" t="s">
        <v>20</v>
      </c>
      <c r="D30" s="99" t="s">
        <v>20</v>
      </c>
      <c r="E30" s="99" t="s">
        <v>147</v>
      </c>
      <c r="F30" s="99" t="s">
        <v>147</v>
      </c>
      <c r="G30" s="99">
        <v>0.5</v>
      </c>
      <c r="H30" s="99" t="b">
        <v>1</v>
      </c>
      <c r="I30" s="82">
        <v>386</v>
      </c>
      <c r="J30" s="82">
        <v>26</v>
      </c>
      <c r="K30" s="105">
        <v>0.5</v>
      </c>
      <c r="L30" s="11"/>
      <c r="M30" s="11"/>
      <c r="N30" s="35"/>
      <c r="O30" s="35"/>
      <c r="Q30" s="38"/>
      <c r="R30" s="38"/>
      <c r="S30" s="38"/>
      <c r="T30" s="38"/>
      <c r="U30" s="38"/>
    </row>
    <row r="31" customFormat="true" s="11">
      <c r="A31" s="92" t="s">
        <v>76</v>
      </c>
      <c r="B31" s="93" t="s">
        <v>70</v>
      </c>
      <c r="C31" s="93" t="s">
        <v>20</v>
      </c>
      <c r="D31" s="93" t="s">
        <v>20</v>
      </c>
      <c r="E31" s="93" t="s">
        <v>147</v>
      </c>
      <c r="F31" s="93" t="s">
        <v>147</v>
      </c>
      <c r="G31" s="93">
        <v>0.5</v>
      </c>
      <c r="H31" s="93" t="b">
        <v>1</v>
      </c>
      <c r="I31" s="72">
        <v>386</v>
      </c>
      <c r="J31" s="72">
        <v>26</v>
      </c>
      <c r="K31" s="106">
        <v>0.5</v>
      </c>
      <c r="L31" s="11"/>
      <c r="M31" s="11"/>
      <c r="N31" s="35"/>
      <c r="O31" s="35"/>
      <c r="Q31" s="38"/>
      <c r="R31" s="38"/>
      <c r="S31" s="38"/>
      <c r="T31" s="38"/>
      <c r="U31" s="38"/>
    </row>
  </sheetData>
  <mergeCells count="10">
    <mergeCell ref="D13:F13"/>
    <mergeCell ref="A1:B1"/>
    <mergeCell ref="B7:C7"/>
    <mergeCell ref="B8:C8"/>
    <mergeCell ref="D10:F10"/>
    <mergeCell ref="D11:F11"/>
    <mergeCell ref="D14:F14"/>
    <mergeCell ref="D15:F15"/>
    <mergeCell ref="D16:F16"/>
    <mergeCell ref="D17:F17"/>
  </mergeCells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xl/worksheets/sheet7.xml><?xml version="1.0" encoding="utf-8"?>
<worksheet xmlns="http://schemas.openxmlformats.org/spreadsheetml/2006/main" xmlns:r="http://schemas.openxmlformats.org/officeDocument/2006/relationships" xmlns:x14="http://schemas.microsoft.com/office/spreadsheetml/2009/9/main">
  <sheetPr codeName="Sheet7"/>
  <dimension ref="A1"/>
  <sheetViews>
    <sheetView workbookViewId="0" topLeftCell="A1" zoomScaleNormal="100" zoomScaleSheetLayoutView="60" zoomScale="100" view="normal">
      <selection activeCell="N31" sqref="N31:N32"/>
    </sheetView>
  </sheetViews>
  <sheetFormatPr defaultRowHeight="15"/>
  <sheetData/>
  <pageMargins left="0.69999999999999996" right="0.69999999999999996" top="0.75" bottom="0.75" header="0.29999999999999999" footer="0.29999999999999999"/>
  <pageSetup orientation="portrait" scale="100" paperSize="9" fitToWidth="0" fitToHeight="0" horizontalDpi="0" verticalDpi="0" copies="1"/>
</worksheet>
</file>

<file path=docProps/app.xml><?xml version="1.0" encoding="utf-8"?>
<Properties xmlns="http://schemas.openxmlformats.org/officeDocument/2006/extended-properties" xmlns:vt="http://schemas.openxmlformats.org/officeDocument/2006/docPropsVTypes" xmlns:ap="http://schemas.openxmlformats.org/officeDocument/2006/extended-properties">
  <Application>Microsoft Excel</Application>
  <Company/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 List</vt:lpstr>
      <vt:lpstr>Structure relations</vt:lpstr>
      <vt:lpstr>CutRite Items</vt:lpstr>
      <vt:lpstr>Product Structure</vt:lpstr>
      <vt:lpstr>Complete Part List</vt:lpstr>
      <vt:lpstr>Cutting Part List</vt:lpstr>
      <vt:lpstr>Replacament Configuration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Saulius Dereskevicius</dc:creator>
  <cp:lastModifiedBy>Saulius Dereskevicius</cp:lastModifiedBy>
  <dcterms:created xsi:type="dcterms:W3CDTF">2018-08-28T12:06:59Z</dcterms:created>
  <dcterms:modified xsi:type="dcterms:W3CDTF">2018-10-24T12:53:12Z</dcterms:modified>
</cp:coreProperties>
</file>