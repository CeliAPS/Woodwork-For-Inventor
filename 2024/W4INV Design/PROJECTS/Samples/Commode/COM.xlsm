
<file path=[Content_Types].xml><?xml version="1.0" encoding="utf-8"?>
<Types xmlns="http://schemas.openxmlformats.org/package/2006/content-types">
  <Default Extension="xml" ContentType="application/xml"/>
  <Override PartName="/xl/worksheets/sheet1.xml" ContentType="application/vnd.openxmlformats-officedocument.spreadsheetml.worksheet+xml"/>
  <Default Extension="rels" ContentType="application/vnd.openxmlformats-package.relationships+xml"/>
  <Override PartName="/xl/worksheets/sheet2.xml" ContentType="application/vnd.openxmlformats-officedocument.spreadsheetml.worksheet+xml"/>
  <Override PartName="/xl/worksheets/sheet3.xml" ContentType="application/vnd.openxmlformats-officedocument.spreadsheetml.worksheet+xml"/>
  <Default Extension="vml" ContentType="application/vnd.openxmlformats-officedocument.vmlDrawing"/>
  <Override PartName="/xl/GemComments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Override PartName="/xl/sharedStrings.xml" ContentType="application/vnd.openxmlformats-officedocument.spreadsheetml.sharedStrings+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xl/theme/theme1.xml" ContentType="application/vnd.openxmlformats-officedocument.theme+xml"/>
  <Default Extension="bin" ContentType="application/vnd.ms-office.vbaProject"/>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xmlns="http://schemas.openxmlformats.org/spreadsheetml/2006/mai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E:\W4INV 2018 Design\PROJECTS\FITSOUT Specifikacijos\"/>
    </mc:Choice>
  </mc:AlternateContent>
  <bookViews>
    <workbookView activeTab="0"/>
  </bookViews>
  <sheets>
    <sheet name="Item List" sheetId="1" r:id="rId3"/>
    <sheet name="Structure relations" sheetId="2" r:id="rId4"/>
    <sheet name="CutRite Items" sheetId="3" r:id="rId5"/>
    <sheet name="Product Structure" sheetId="4" r:id="rId6"/>
    <sheet name="Complete Part List" sheetId="5" r:id="rId7"/>
    <sheet name="Cutting Part List" sheetId="6" r:id="rId8"/>
    <sheet name="Composite Part List" sheetId="9" r:id="rId9"/>
    <sheet name="Multilayer Part List" sheetId="10" r:id="rId10"/>
    <sheet name="Materials Summary" sheetId="8" r:id="rId11"/>
    <sheet name="Replacament Configuration" sheetId="7" r:id="rId13"/>
    <sheet name="Version Story" sheetId="11" r:id="rId14"/>
  </sheets>
  <calcPr calcId="191029"/>
  <extLst xmlns="http://schemas.openxmlformats.org/spreadsheetml/2006/main">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GemComments1.xml><?xml version="1.0" encoding="utf-8"?>
<comments xmlns="http://schemas.openxmlformats.org/spreadsheetml/2006/main">
  <authors>
    <author>Saulius</author>
  </authors>
  <commentList>
    <comment ref="V3" authorId="0">
      <text>
        <r>
          <rPr>
            <rFont val="Tahoma"/>
            <charset val="186"/>
            <b/>
            <color indexed="81"/>
            <sz val="9"/>
          </rPr>
          <t>Saulius:</t>
        </r>
        <r>
          <rPr>
            <rFont val="Tahoma"/>
            <charset val="186"/>
            <color indexed="81"/>
            <sz val="9"/>
          </rPr>
          <t xml:space="preserve">
Pirmo pastatymo kampo numeris. Jeigu nera pastatymo tada kala "0" numeri</t>
        </r>
      </text>
    </comment>
    <comment ref="W3" authorId="0">
      <text>
        <r>
          <rPr>
            <rFont val="Tahoma"/>
            <charset val="186"/>
            <b/>
            <color indexed="81"/>
            <sz val="9"/>
          </rPr>
          <t>Saulius:</t>
        </r>
        <r>
          <rPr>
            <rFont val="Tahoma"/>
            <charset val="186"/>
            <color indexed="81"/>
            <sz val="9"/>
          </rPr>
          <t xml:space="preserve">
Antro pastatymo bazinio tasko numeris</t>
        </r>
      </text>
    </comment>
    <comment ref="X3" authorId="0">
      <text>
        <r>
          <rPr>
            <rFont val="Tahoma"/>
            <charset val="186"/>
            <b/>
            <color indexed="81"/>
            <sz val="9"/>
          </rPr>
          <t>Saulius:</t>
        </r>
        <r>
          <rPr>
            <rFont val="Tahoma"/>
            <charset val="186"/>
            <color indexed="81"/>
            <sz val="9"/>
          </rPr>
          <t xml:space="preserve">
Pirmo pastatymo numeris</t>
        </r>
      </text>
    </comment>
    <comment ref="Y3" authorId="0">
      <text>
        <r>
          <rPr>
            <rFont val="Tahoma"/>
            <charset val="186"/>
            <b/>
            <color indexed="81"/>
            <sz val="9"/>
          </rPr>
          <t>Saulius:</t>
        </r>
        <r>
          <rPr>
            <rFont val="Tahoma"/>
            <charset val="186"/>
            <color indexed="81"/>
            <sz val="9"/>
          </rPr>
          <t xml:space="preserve">
Pirmo pastatymo numeris</t>
        </r>
      </text>
    </comment>
  </commentList>
</comments>
</file>

<file path=xl/sharedStrings.xml><?xml version="1.0" encoding="utf-8"?>
<sst xmlns="http://schemas.openxmlformats.org/spreadsheetml/2006/main" count="393" uniqueCount="393">
  <si>
    <t>Item Code</t>
  </si>
  <si>
    <t>Item Name</t>
  </si>
  <si>
    <t>Category Name</t>
  </si>
  <si>
    <t>BOM Type</t>
  </si>
  <si>
    <t>Part type</t>
  </si>
  <si>
    <t>Length</t>
  </si>
  <si>
    <t>Width</t>
  </si>
  <si>
    <t>Thickness</t>
  </si>
  <si>
    <t>Parent type</t>
  </si>
  <si>
    <t>Material Code</t>
  </si>
  <si>
    <t>Mass</t>
  </si>
  <si>
    <t>Commode</t>
  </si>
  <si>
    <t>Assembly</t>
  </si>
  <si>
    <t>Normal</t>
  </si>
  <si>
    <t>COM</t>
  </si>
  <si>
    <t>Partial Pull Drawer 30 kg</t>
  </si>
  <si>
    <t>COM_01</t>
  </si>
  <si>
    <t>Drawer Front</t>
  </si>
  <si>
    <t>Part</t>
  </si>
  <si>
    <t>Fill Workpiece</t>
  </si>
  <si>
    <t>COM_0104</t>
  </si>
  <si>
    <t>WP of Drawer Front</t>
  </si>
  <si>
    <t>LMDF</t>
  </si>
  <si>
    <t>COM_0104 WP 1</t>
  </si>
  <si>
    <t>Laminated Medium Density Fiberboard</t>
  </si>
  <si>
    <t>Laminated Board</t>
  </si>
  <si>
    <t>Cover Workpiece</t>
  </si>
  <si>
    <t>PVC 1</t>
  </si>
  <si>
    <t>COM_0104 WP 2</t>
  </si>
  <si>
    <t>PVC edge band</t>
  </si>
  <si>
    <t>Edge Band</t>
  </si>
  <si>
    <t>Drawer Left</t>
  </si>
  <si>
    <t>COM_0106</t>
  </si>
  <si>
    <t>WP of Drawer Left</t>
  </si>
  <si>
    <t>COM_0106 WP 1</t>
  </si>
  <si>
    <t>COM_0106 WP 2</t>
  </si>
  <si>
    <t>COM_0106 WP 3</t>
  </si>
  <si>
    <t>Drawer Right</t>
  </si>
  <si>
    <t>COM_0107</t>
  </si>
  <si>
    <t>WP of Drawer Right</t>
  </si>
  <si>
    <t>COM_0107 WP 1</t>
  </si>
  <si>
    <t>COM_0107 WP 2</t>
  </si>
  <si>
    <t>COM_0107 WP 3</t>
  </si>
  <si>
    <t>Drawer Back</t>
  </si>
  <si>
    <t>COM_0102</t>
  </si>
  <si>
    <t>WP of Drawer Back</t>
  </si>
  <si>
    <t>COM_0102 WP 1</t>
  </si>
  <si>
    <t>COM_0102 WP 2</t>
  </si>
  <si>
    <t>Drawer Bottom</t>
  </si>
  <si>
    <t>COM_0103</t>
  </si>
  <si>
    <t>WP of Drawer Bottom</t>
  </si>
  <si>
    <t>LCB</t>
  </si>
  <si>
    <t>COM_0103 WP 1</t>
  </si>
  <si>
    <t>Laminated Cardboard</t>
  </si>
  <si>
    <t>Partial Pull drawer Right Slide</t>
  </si>
  <si>
    <t>Purchased</t>
  </si>
  <si>
    <t>L450</t>
  </si>
  <si>
    <t>Partial Pull drawer Left Slide</t>
  </si>
  <si>
    <t>Wood screw Cross Recessed Flat Head</t>
  </si>
  <si>
    <t xml:space="preserve"> M3.5x16</t>
  </si>
  <si>
    <t>Confirmat</t>
  </si>
  <si>
    <t>7x50</t>
  </si>
  <si>
    <t>Top of Commode</t>
  </si>
  <si>
    <t>COM_23</t>
  </si>
  <si>
    <t>WP of Top of Commode</t>
  </si>
  <si>
    <t>COM_23 WP 1</t>
  </si>
  <si>
    <t>COM_23 WP 2</t>
  </si>
  <si>
    <t>COM_23 WP 3</t>
  </si>
  <si>
    <t>Left Side of Commode</t>
  </si>
  <si>
    <t>COM_10</t>
  </si>
  <si>
    <t>WP of Left Side of Commode</t>
  </si>
  <si>
    <t>COM_10 WP 1</t>
  </si>
  <si>
    <t>Bottom of Commode</t>
  </si>
  <si>
    <t>COM_02</t>
  </si>
  <si>
    <t>WP of Bottom of Commode</t>
  </si>
  <si>
    <t>COM_02 WP 1</t>
  </si>
  <si>
    <t>COM_02 WP 2</t>
  </si>
  <si>
    <t>Right Side of Commode</t>
  </si>
  <si>
    <t>COM_16</t>
  </si>
  <si>
    <t>WP of Right Side of Commode</t>
  </si>
  <si>
    <t>COM_16 WP 1</t>
  </si>
  <si>
    <t>Top of Drawer Block</t>
  </si>
  <si>
    <t>COM_24</t>
  </si>
  <si>
    <t>WP of Top of Drawer Block</t>
  </si>
  <si>
    <t>COM_24 WP 1</t>
  </si>
  <si>
    <t>COM_24 WP 2</t>
  </si>
  <si>
    <t>COM_24 WP 3</t>
  </si>
  <si>
    <t>COM_24 WP 4</t>
  </si>
  <si>
    <t>Left Side of Drawer Block</t>
  </si>
  <si>
    <t>COM_11</t>
  </si>
  <si>
    <t>WP of Left Side of Drawer Block</t>
  </si>
  <si>
    <t>COM_11 WP 1</t>
  </si>
  <si>
    <t>COM_11 WP 2</t>
  </si>
  <si>
    <t>Bottom of Drawer Block</t>
  </si>
  <si>
    <t>COM_03</t>
  </si>
  <si>
    <t>WP of Bottom of Drawer Block</t>
  </si>
  <si>
    <t>COM_03 WP 1</t>
  </si>
  <si>
    <t>COM_03 WP 2</t>
  </si>
  <si>
    <t>COM_03 WP 3</t>
  </si>
  <si>
    <t>Right Side of Drawer Block</t>
  </si>
  <si>
    <t>COM_17</t>
  </si>
  <si>
    <t>WP of Right Side of Drawer Block</t>
  </si>
  <si>
    <t>COM_17 WP 1</t>
  </si>
  <si>
    <t>Left Vertical Partition of Drawer Block</t>
  </si>
  <si>
    <t>COM_12</t>
  </si>
  <si>
    <t>WP of Left Vertical Partition of Drawer Block</t>
  </si>
  <si>
    <t>COM_12 WP 1</t>
  </si>
  <si>
    <t>COM_12 WP 2</t>
  </si>
  <si>
    <t>Top Plynth of Commode</t>
  </si>
  <si>
    <t>COM_25</t>
  </si>
  <si>
    <t>WP of Top Plynth of Commode</t>
  </si>
  <si>
    <t>COM_25 WP 1</t>
  </si>
  <si>
    <t>COM_25 WP 2</t>
  </si>
  <si>
    <t>COM_25 WP 3</t>
  </si>
  <si>
    <t>COM_25 WP 4</t>
  </si>
  <si>
    <t>COM_25 WP 5</t>
  </si>
  <si>
    <t>Left Plynth of Commode</t>
  </si>
  <si>
    <t>COM_08</t>
  </si>
  <si>
    <t>WP of Left Plynth of Commode</t>
  </si>
  <si>
    <t>COM_08 WP 1</t>
  </si>
  <si>
    <t>COM_08 WP 2</t>
  </si>
  <si>
    <t>COM_08 WP 3</t>
  </si>
  <si>
    <t>Bottom Plynth of Commode</t>
  </si>
  <si>
    <t>COM_04</t>
  </si>
  <si>
    <t>WP of Bottom Plynth of Commode</t>
  </si>
  <si>
    <t>COM_04 WP 1</t>
  </si>
  <si>
    <t>COM_04 WP 2</t>
  </si>
  <si>
    <t>COM_04 WP 3</t>
  </si>
  <si>
    <t>COM_04 WP 4</t>
  </si>
  <si>
    <t>Right Plynth of Commode</t>
  </si>
  <si>
    <t>COM_13</t>
  </si>
  <si>
    <t>WP of Right Plynth of Commode</t>
  </si>
  <si>
    <t>COM_13 WP 1</t>
  </si>
  <si>
    <t>COM_13 WP 2</t>
  </si>
  <si>
    <t>COM_13 WP 3</t>
  </si>
  <si>
    <t>Bottom Plynth of Drawer Block</t>
  </si>
  <si>
    <t>COM_05</t>
  </si>
  <si>
    <t>WP of Bottom Plynth of Drawer Block</t>
  </si>
  <si>
    <t>COM_05 WP 1</t>
  </si>
  <si>
    <t>COM_05 WP 2</t>
  </si>
  <si>
    <t>COM_05 WP 3</t>
  </si>
  <si>
    <t>COM_05 WP 4</t>
  </si>
  <si>
    <t>COM_05 WP 5</t>
  </si>
  <si>
    <t>Right Plynth of Drawer Block</t>
  </si>
  <si>
    <t>COM_14</t>
  </si>
  <si>
    <t>WP of Right Plynth of Drawer Block</t>
  </si>
  <si>
    <t>COM_14 WP 1</t>
  </si>
  <si>
    <t>COM_14 WP 2</t>
  </si>
  <si>
    <t>COM_14 WP 3</t>
  </si>
  <si>
    <t>Right Vertical Partition of Drawer Block</t>
  </si>
  <si>
    <t>COM_18</t>
  </si>
  <si>
    <t>WP of Right Vertical Partition of Drawer Block</t>
  </si>
  <si>
    <t>COM_18 WP 1</t>
  </si>
  <si>
    <t>COM_18 WP 2</t>
  </si>
  <si>
    <t>Door of Drawer Block</t>
  </si>
  <si>
    <t>COM_06</t>
  </si>
  <si>
    <t>WP of Door of Drawer Block</t>
  </si>
  <si>
    <t>COM_06 WP 1</t>
  </si>
  <si>
    <t>COM_06 WP 2</t>
  </si>
  <si>
    <t>COM_06 WP 3</t>
  </si>
  <si>
    <t>COM_06 WP 4</t>
  </si>
  <si>
    <t>COM_06 WP 5</t>
  </si>
  <si>
    <t>Vertical Partition of Commode</t>
  </si>
  <si>
    <t>COM_26</t>
  </si>
  <si>
    <t>WP of Vertical Partition of Commode</t>
  </si>
  <si>
    <t>COM_26 WP 1</t>
  </si>
  <si>
    <t>COM_26 WP 2</t>
  </si>
  <si>
    <t>Left Side of Back</t>
  </si>
  <si>
    <t>COM_09</t>
  </si>
  <si>
    <t>WP of Left Side of Back</t>
  </si>
  <si>
    <t>COM_09 WP 1</t>
  </si>
  <si>
    <t>Right Side of Back</t>
  </si>
  <si>
    <t>COM_15</t>
  </si>
  <si>
    <t>WP of Right Side of Back</t>
  </si>
  <si>
    <t>COM_15 WP 1</t>
  </si>
  <si>
    <t>Facade of Drawer</t>
  </si>
  <si>
    <t>COM_07</t>
  </si>
  <si>
    <t>WP of Facade of Drawer</t>
  </si>
  <si>
    <t>COM_07 WP 1</t>
  </si>
  <si>
    <t>COM_07 WP 2</t>
  </si>
  <si>
    <t>COM_07 WP 3</t>
  </si>
  <si>
    <t>COM_07 WP 4</t>
  </si>
  <si>
    <t>COM_07 WP 5</t>
  </si>
  <si>
    <t>Shelf</t>
  </si>
  <si>
    <t>COM_20</t>
  </si>
  <si>
    <t>WP of Shelf</t>
  </si>
  <si>
    <t>COM_20 WP 1</t>
  </si>
  <si>
    <t>COM_20 WP 2</t>
  </si>
  <si>
    <t>COM_20 WP 3</t>
  </si>
  <si>
    <t>COM_20 WP 4</t>
  </si>
  <si>
    <t>COM_20 WP 5</t>
  </si>
  <si>
    <t>Shelf of Drawer Block</t>
  </si>
  <si>
    <t>COM_19</t>
  </si>
  <si>
    <t>WP of Shelf of Drawer Block</t>
  </si>
  <si>
    <t>COM_19 WP 1</t>
  </si>
  <si>
    <t>COM_19 WP 2</t>
  </si>
  <si>
    <t>COM_19 WP 3</t>
  </si>
  <si>
    <t>COM_19 WP 4</t>
  </si>
  <si>
    <t>COM_19 WP 5</t>
  </si>
  <si>
    <t>Connecting bolt</t>
  </si>
  <si>
    <t>L 34</t>
  </si>
  <si>
    <t>Minifix cam</t>
  </si>
  <si>
    <t>D15 T18</t>
  </si>
  <si>
    <t>Dowel</t>
  </si>
  <si>
    <t>8 x 30</t>
  </si>
  <si>
    <t>Cap</t>
  </si>
  <si>
    <t>D15</t>
  </si>
  <si>
    <t>Shelf support</t>
  </si>
  <si>
    <t>Shelf suppor D5 L16</t>
  </si>
  <si>
    <t>Hole cover</t>
  </si>
  <si>
    <t>Hole cover D5</t>
  </si>
  <si>
    <t>Concealed Full Overlay Hinge. Cup fixing Wood Screw</t>
  </si>
  <si>
    <t>Open angle 110 deg</t>
  </si>
  <si>
    <t>M3.5x15</t>
  </si>
  <si>
    <t>Hinge Mounting Plate</t>
  </si>
  <si>
    <t>Mounting Plate</t>
  </si>
  <si>
    <t>Parent</t>
  </si>
  <si>
    <t>ItemNumber</t>
  </si>
  <si>
    <t>Quantity</t>
  </si>
  <si>
    <t>Units</t>
  </si>
  <si>
    <t>unt</t>
  </si>
  <si>
    <t>m²</t>
  </si>
  <si>
    <t>m</t>
  </si>
  <si>
    <t>Part Data</t>
  </si>
  <si>
    <t>Edge Band Material definition</t>
  </si>
  <si>
    <t>Edge Band Thickness</t>
  </si>
  <si>
    <t>CNC</t>
  </si>
  <si>
    <t>Informacija kuri perdirbama ankstesniuose stulpeliuose</t>
  </si>
  <si>
    <t>Part Code</t>
  </si>
  <si>
    <t>Material</t>
  </si>
  <si>
    <t>ILGIS be užlaidų</t>
  </si>
  <si>
    <t>PLOTIS be užlaidų</t>
  </si>
  <si>
    <t>Order Nr 26</t>
  </si>
  <si>
    <t>Part Name</t>
  </si>
  <si>
    <t>Color Code</t>
  </si>
  <si>
    <t>Color Name</t>
  </si>
  <si>
    <t>1-Front</t>
  </si>
  <si>
    <t>3-Back</t>
  </si>
  <si>
    <t>4-Left</t>
  </si>
  <si>
    <t>2-Right</t>
  </si>
  <si>
    <t>BR-Front</t>
  </si>
  <si>
    <t>BR-Back</t>
  </si>
  <si>
    <t>BR-Left</t>
  </si>
  <si>
    <t>BR-Right</t>
  </si>
  <si>
    <t>Has grain</t>
  </si>
  <si>
    <t>First Clamping Base point for CNC processing</t>
  </si>
  <si>
    <t>Second Clamping Base point for CNC processing</t>
  </si>
  <si>
    <t>First CNC Program Name</t>
  </si>
  <si>
    <t>Second CNC Program Name</t>
  </si>
  <si>
    <t>CNC Programs Ammount</t>
  </si>
  <si>
    <t>Inverse Axis</t>
  </si>
  <si>
    <t>Galutinis Detalės ilgis</t>
  </si>
  <si>
    <t>Galutinis Detalės plotis</t>
  </si>
  <si>
    <t>Galutinis detalės storis</t>
  </si>
  <si>
    <t>Cutting Angle from Front</t>
  </si>
  <si>
    <t>Cutting Angle from Right</t>
  </si>
  <si>
    <t>Cutting Angle from Back</t>
  </si>
  <si>
    <t>Cutting Angle from Left</t>
  </si>
  <si>
    <t>Has Grain</t>
  </si>
  <si>
    <t>Fill Workpiece Has grain</t>
  </si>
  <si>
    <t>Top Cover Has Grain</t>
  </si>
  <si>
    <t>Bottom Cover Has Grain</t>
  </si>
  <si>
    <t>IN PRT 01</t>
  </si>
  <si>
    <t>Inner Parts 01 group color</t>
  </si>
  <si>
    <t>COM_0104_J1C1.MPR</t>
  </si>
  <si>
    <t>90</t>
  </si>
  <si>
    <t>PVC edge band PVC 1</t>
  </si>
  <si>
    <t>COM_0106_J1C1.MPR</t>
  </si>
  <si>
    <t>COM_0107_J1C1.MPR</t>
  </si>
  <si>
    <t>COM_0102_J1C1.MPR</t>
  </si>
  <si>
    <t>COM_0103_J1C1.MPR</t>
  </si>
  <si>
    <t>F01</t>
  </si>
  <si>
    <t>Facade 01 group color</t>
  </si>
  <si>
    <t>COM_23_J1C1.MPR</t>
  </si>
  <si>
    <t>COM_10_J1C1.MPR</t>
  </si>
  <si>
    <t>COM_10_J1C2.MPR</t>
  </si>
  <si>
    <t>COM_02_J1C1.MPR</t>
  </si>
  <si>
    <t>COM_02_J1C2.MPR</t>
  </si>
  <si>
    <t>COM_16_J1C1.MPR</t>
  </si>
  <si>
    <t>COM_16_J1C2.MPR</t>
  </si>
  <si>
    <t>B02</t>
  </si>
  <si>
    <t>Body 02 group color</t>
  </si>
  <si>
    <t>COM_24_J1C1.MPR</t>
  </si>
  <si>
    <t>COM_24_J1C2.MPR</t>
  </si>
  <si>
    <t>COM_11_J1C1.MPR</t>
  </si>
  <si>
    <t>COM_11_J1C2.MPR</t>
  </si>
  <si>
    <t>COM_03_J1C1.MPR</t>
  </si>
  <si>
    <t>COM_17_J1C1.MPR</t>
  </si>
  <si>
    <t>COM_17_J1C2.MPR</t>
  </si>
  <si>
    <t>COM_12_J1C1.MPR</t>
  </si>
  <si>
    <t>COM_12_J1C2.MPR</t>
  </si>
  <si>
    <t>COM_25_J1C1.MPR</t>
  </si>
  <si>
    <t>COM_08_J1C1.MPR</t>
  </si>
  <si>
    <t>COM_04_J1C1.MPR</t>
  </si>
  <si>
    <t>COM_13_J1C1.MPR</t>
  </si>
  <si>
    <t>COM_05_J1C1.MPR</t>
  </si>
  <si>
    <t>COM_14_J1C1.MPR</t>
  </si>
  <si>
    <t>COM_18_J1C1.MPR</t>
  </si>
  <si>
    <t>Product Structure</t>
  </si>
  <si>
    <t>Manufacturing Order Code:</t>
  </si>
  <si>
    <t>Manufacturing Order Name:</t>
  </si>
  <si>
    <t>Client:</t>
  </si>
  <si>
    <t>Designer:</t>
  </si>
  <si>
    <t xml:space="preserve"> </t>
  </si>
  <si>
    <t>Constructor:</t>
  </si>
  <si>
    <t>Data:</t>
  </si>
  <si>
    <t>Finish</t>
  </si>
  <si>
    <t>Code</t>
  </si>
  <si>
    <t>Name</t>
  </si>
  <si>
    <t>Finished surfaces quantity</t>
  </si>
  <si>
    <t>(1) m2</t>
  </si>
  <si>
    <t>(2) m2</t>
  </si>
  <si>
    <t>(3) m2</t>
  </si>
  <si>
    <t>Complete Parts List</t>
  </si>
  <si>
    <t>Laminated Boards</t>
  </si>
  <si>
    <t>Material Name</t>
  </si>
  <si>
    <t>Cutting Parts List</t>
  </si>
  <si>
    <t>Parts from Laminated Board</t>
  </si>
  <si>
    <t>Material code</t>
  </si>
  <si>
    <t>Material name</t>
  </si>
  <si>
    <t>Front Code</t>
  </si>
  <si>
    <t>Cutting Angle</t>
  </si>
  <si>
    <t>Back Code</t>
  </si>
  <si>
    <t>Left Code</t>
  </si>
  <si>
    <t>Right Code</t>
  </si>
  <si>
    <t>Composite Parts List</t>
  </si>
  <si>
    <t>Multilayer Board List</t>
  </si>
  <si>
    <t>Materials Summary</t>
  </si>
  <si>
    <t>Masyvo užlaida:</t>
  </si>
  <si>
    <t>Plokščių užlaida:</t>
  </si>
  <si>
    <t>Laminuotų plokščių užlaida:</t>
  </si>
  <si>
    <t>Daugiasluoksnių plokščių užlaida:</t>
  </si>
  <si>
    <t>Profilių užlaida:</t>
  </si>
  <si>
    <t>Stalviršių užlaida:</t>
  </si>
  <si>
    <t>Briaunų užlaida:</t>
  </si>
  <si>
    <t>Lukštų užlaida:</t>
  </si>
  <si>
    <t>Dažų užlaida:</t>
  </si>
  <si>
    <t>Amount</t>
  </si>
  <si>
    <t>Final Ammount</t>
  </si>
  <si>
    <t>Area</t>
  </si>
  <si>
    <t>Total amount:</t>
  </si>
  <si>
    <t>Edge Bands</t>
  </si>
  <si>
    <t>Purchased Units</t>
  </si>
  <si>
    <t>Rename Configuration</t>
  </si>
  <si>
    <t>Initial Code</t>
  </si>
  <si>
    <t>Initial Name</t>
  </si>
  <si>
    <t>Final Code</t>
  </si>
  <si>
    <t>Final Name</t>
  </si>
  <si>
    <t>Current Version</t>
  </si>
  <si>
    <t>30 Versijos pakeitimų aprašymas</t>
  </si>
  <si>
    <t>Buvo primakaluota ir nepabaigta CUTRite specifikacijos multilayer plokštės išklojimas. Atitaisytas atgal išklojami tik Board, Laminated Board ir Multilayer Board plokštės</t>
  </si>
  <si>
    <t>FITSOUT pageidavimu modifikuotas "Item List" išvedimas, tikslu supaprastinti vienodų elmentų atpažinimą daugiasluoksnėje plokštėje. Pridėti stulpeliai, kurie išveda:
1. Specifikacijos Elemento gabaritus (Length;Width;Thickness)
2. "Parent Type" praneša koks yra einamojo elmento tėvinio elemento tipas. Tai, pavyzdžiui,  padeda nustatyti, kad einamasis elementas priklauso tėvinei daugiasluoksnei plokštei
3. "Material Code" praneša eemento medžiagos kodą, kas, taip pat, palengvina vienodo elmento atpažinimą.</t>
  </si>
  <si>
    <t>29 Versijos pakeitimų aprašymas</t>
  </si>
  <si>
    <t>Specifikacijų kepurėse pridėta dizainerio ir konstruktoriaus pavardžių duomenų laukai</t>
  </si>
  <si>
    <t>Pakeistas "FitsOut" pageidavimu lentelių formatavimas. Ištaisytas ruošinių kiekio skaičiavimas "Multilayer Part List" Specifikacijoje. Dabar "Composite Part List" ir "Multilayer Part List" specifikacijose detalių ir daugiasluoksnės plokštįs ruošinių kiekis pateikiamas viršutinės detalės skaičių padauginus iš ruošinių skaičiaus pačioje detalėje.</t>
  </si>
  <si>
    <t>28 Versijos pakeitimų aprašymas</t>
  </si>
  <si>
    <t>Pataisytas "Composite Part List". Dabar kompozitinės detalės sudedamų dalių matmenys yra išvedami kaip ruošinių matmenys. T.y. sudedmos dalys yra parodomos su užlaidomis. "Composite Part List" ir "Multilayer List" panaikinti penki paskutiniai stulpeliai. Pirmi du nešė informaciją apie spalvą, likusieji nešė informaciją apie ruošinio matmenis. "Composite Part List" perdarytas kodo perdirbimas pernešant priekinį ruošinio numerį į pabaigą.</t>
  </si>
  <si>
    <t>27 Versijos pakeitimų aprašymas</t>
  </si>
  <si>
    <t>Įvestas papildomas laukas "Item List" "Part Type", kuris praneša koks bus detalės užpildo ruošinys. Galimos reikšmės:
"Fill Workpiece" - įprastas užpildo ruošinys sudarytas iš vieno medžiagos gabalo
"Multilayer Workpiece" - Daugiasluoksnis užpildo ruošinys
"Composite Workpiece" - Kompozitinis klijuotas ruošinys</t>
  </si>
  <si>
    <t>26 Versijos pakeitimų aprašymas</t>
  </si>
  <si>
    <t>"CutRite Items" specifikacijoje pakeisti 17;18;19;20 stulpelių užvadinimai. Nuimti skaiciukai ir pakeisti piresdeliu "BR". Pašalintas parazitinis raktažodis užsilikęs "Structure relations" lape</t>
  </si>
  <si>
    <t>25 Versijos pakeitimų aprašymas</t>
  </si>
  <si>
    <t>Ištaisyta klaida, "Item List" specifikacijoje išvedant kodą buvo pašalintas apdirbimas pašalinantis "_" simbolį priekyje</t>
  </si>
  <si>
    <t>24 Versijos pakeitimų aprašymas</t>
  </si>
  <si>
    <t>Cut Rite specifikacijoje modifikuotas 17;18;19;20 stulpelių išvedimas, kuriuose buvo išvedamos kantų storio reikšmės. Jos buvo apvalinamos. Dabar jos išvedamos tiksliai taip kaip surandama DB.</t>
  </si>
  <si>
    <t>23 Versijos pakeitimų aprašymas</t>
  </si>
  <si>
    <t>1.</t>
  </si>
  <si>
    <t>Pakeistas Macrosas, kuris atsakingas už ruošinio kodo perdirbimą perkeliant ruošinio numerį į kodo galą. Sutvarkyta situacija, kada kodas prasideda "_" bet tai nėra ruošinys su numeriais (pvz Medžiagos kodas prasideda simboliu "_".  Tokiu atveju kodas paliekamas nepakitęs. Varototjui neleistina koduose ir pavadinimuose naudoti kombinaciją kuri prasideda "_&lt;n&gt;" tokiu atveju numeris bus permestas į kodo pabaigą.</t>
  </si>
  <si>
    <t>22 Versijos pakeitimų aprašymas</t>
  </si>
  <si>
    <t>Pakeistas Macrosas, kuris atsakingas už ruošinio kodo perdirbimą perkeliant ruošinio numerį į kodo galą. Sutvarkyta situacija, kada daugiasluoksnė medžiaga turi du ruošinio lygmenis ir tada antras lygmuo buvo neapdorojamas perkeliant _&lt;n&gt; ruošinio numerį į galą kodo.Ruošinių kiekiui peržengus 9 skaičių automatiškai indeksavimui pereinama į ASCII Simbolius nuo A raidės</t>
  </si>
  <si>
    <t>2.</t>
  </si>
  <si>
    <t>Pataisyta daugiasluoksnėse plokštėse plokščių ruošinių vardai patiria tokią pačią vardų konvertaciją kaip ir kituose specifikacijos skirsniuose</t>
  </si>
  <si>
    <t>21 Versijos pakeitimų aprašymas</t>
  </si>
  <si>
    <t>Pakeistas Macrosas, kuris atsakingas už ruošinio kodo perdirbimą perkeliant ruošinio numerį į kodo galą. Pašalinta klaida kai apdirbto kodo priekyje pasilikdavo tarpo simbolis ir taip pritrūkdavo vietos įrašyti dviženklį ruošinio eilės numerį.</t>
  </si>
  <si>
    <t>20 Versijos pakeitimų aprašymas</t>
  </si>
  <si>
    <t>"CutRite Items" ataskaitoje duomenu pradzia perstumta į 5 eilutę</t>
  </si>
  <si>
    <t>19 Versijos pakeitimų aprašymas</t>
  </si>
  <si>
    <t>Pataisyta "CutRite Items" ataskaitos forma taip, kad duomenys prasidėtų nuo 4 eilutės už Headerio duomenų</t>
  </si>
  <si>
    <t>18 Versijos pakeitimų aprašymas</t>
  </si>
  <si>
    <t>Pataisyta funkcija kuri eliminuoja apatinius brūkšniukus ruošinių pavadinimuose ir kaunterio skaičiuką perkelia į pabaigą</t>
  </si>
  <si>
    <t>17 Versijos pakeitimų aprašymas</t>
  </si>
  <si>
    <t>Sheet "CutRite Items"</t>
  </si>
  <si>
    <t>Dešinėje pusėje gale "Board lentelės" Įvesti 3 nauji stulpeliai, kurie yra panaudoti ištaisant "Has Grain" 43 stulpelio išvedamų laukų logiką. Dabar jeigu "Board" tipo detalės nors viena pusė padengta lukštu su "Has grain", tokia detalė indikuojama kaip turinti tekstūros kryptį, nesvarbu, kad pati plokštį gali neturėti tekstūros krypties. Ši savybė bus išimta, sulig tuo momentu, kada ateis naujas W4INV pataisymas, kuriame bus pataisyta Has Grain lauko apdorojimo logika programos lygmenyje.</t>
  </si>
  <si>
    <t>16 Versijos pakeitimų aprašymas</t>
  </si>
  <si>
    <t>Pašalintas 11 stulpelis "Thickness" nes išvedamas duomuo dubliuojasi su 5 stulpeliu. Atitinkamai persistūmė kiti stulpeliai</t>
  </si>
  <si>
    <t>5 Stulpelis Thickness dabar išvedinės "pliką" plokštės storį be dangų</t>
  </si>
  <si>
    <t>3.</t>
  </si>
  <si>
    <t>Pašalinti paskutiniai 4 stulpeliai, kuriuose buvo išvedama užlaidų reikšmės, kurios buvo naudojamos apskaičiuoti ruošinio dydį be užlaidų. Tai padaryta todėl, kad atsirado nauji raktažodžiai, kurie išveda šias reikšmes tiesiogiai į nurodytą vietą.</t>
  </si>
  <si>
    <t>Sheet "Cuttinga part list"</t>
  </si>
  <si>
    <t>Pakeistas raktažodis "Thickness stulpelyje", kuris dabar išveda tikrą ruošinio storį, be dangų</t>
  </si>
  <si>
    <t>Įvesti nauji laukai FRONT, BACK, LEFT, RIGHT pusėms nusakantys kraštinės pjovimo kampą</t>
  </si>
  <si>
    <t>Įvestas naujas Sheet "Version Story"</t>
  </si>
  <si>
    <t>Įvestame lape lastelėje B2 stovi užrašyta specifikacijos versija. Žemiau pateikiamas trumpas versijos pakeitimų aprašas.</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</si>
</sst>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name val="Calibri"/>
      <color theme="1"/>
      <sz val="11"/>
      <scheme val="minor"/>
    </font>
    <font>
      <name val="Arial"/>
      <charset val="186"/>
      <sz val="10"/>
    </font>
    <font>
      <name val="Calibri"/>
      <b/>
      <color theme="1"/>
      <sz val="11"/>
      <scheme val="minor"/>
    </font>
    <font>
      <name val="Calibri"/>
      <charset val="186"/>
      <sz val="11"/>
      <scheme val="minor"/>
    </font>
    <font>
      <name val="Calibri"/>
      <charset val="186"/>
      <color theme="1"/>
      <sz val="11"/>
      <scheme val="minor"/>
    </font>
    <font>
      <name val="Calibri"/>
      <sz val="11"/>
      <scheme val="minor"/>
    </font>
    <font>
      <name val="Calibri"/>
      <b/>
      <color indexed="8"/>
      <sz val="9"/>
    </font>
    <font>
      <name val="Calibri"/>
      <charset val="186"/>
      <b/>
      <color theme="1"/>
      <sz val="16"/>
      <scheme val="minor"/>
    </font>
    <font>
      <name val="Calibri"/>
      <charset val="186"/>
      <b/>
      <color theme="1"/>
      <sz val="11"/>
      <scheme val="minor"/>
    </font>
    <font>
      <name val="Calibri"/>
      <b/>
      <i/>
      <color theme="1"/>
      <sz val="11"/>
      <scheme val="minor"/>
    </font>
    <font>
      <name val="Calibri"/>
      <b/>
      <sz val="11"/>
      <scheme val="minor"/>
    </font>
    <font>
      <name val="Calibri"/>
      <i/>
      <color theme="1"/>
      <sz val="9"/>
      <scheme val="minor"/>
    </font>
    <font>
      <name val="Calibri"/>
      <b/>
      <color theme="1"/>
      <sz val="12"/>
      <scheme val="minor"/>
    </font>
    <font>
      <name val="Calibri"/>
      <charset val="186"/>
      <b/>
      <color theme="1"/>
      <sz val="14"/>
      <scheme val="minor"/>
    </font>
    <font>
      <name val="Calibri"/>
      <charset val="186"/>
      <b/>
      <i/>
      <sz val="11"/>
      <scheme val="minor"/>
    </font>
    <font>
      <name val="Calibri"/>
      <b/>
      <color theme="1"/>
      <sz val="14"/>
      <scheme val="minor"/>
    </font>
    <font>
      <name val="Calibri"/>
      <charset val="186"/>
      <b/>
      <i/>
      <color theme="1"/>
      <sz val="11"/>
      <scheme val="minor"/>
    </font>
    <font>
      <name val="Calibri"/>
      <i/>
      <color theme="1"/>
      <sz val="10"/>
      <scheme val="minor"/>
    </font>
  </fonts>
  <fills count="13">
    <fill>
      <patternFill patternType="none"/>
    </fill>
    <fill>
      <patternFill patternType="gray125"/>
    </fill>
    <fill>
      <patternFill patternType="solid">
        <fgColor theme="9" tint="0.799981688894314"/>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3" tint="0.599993896298105"/>
        <bgColor indexed="64"/>
      </patternFill>
    </fill>
    <fill>
      <patternFill patternType="solid">
        <fgColor theme="2" tint="-0.0999786370433668"/>
        <bgColor indexed="64"/>
      </patternFill>
    </fill>
    <fill>
      <patternFill patternType="solid">
        <fgColor theme="9" tint="0.599993896298105"/>
        <bgColor indexed="64"/>
      </patternFill>
    </fill>
    <fill>
      <patternFill patternType="solid">
        <fgColor theme="0" tint="-0.149998474074526"/>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1" fillId="0" borderId="0"/>
  </cellStyleXfs>
  <cellXfs count="99">
    <xf numFmtId="0" fontId="0" fillId="0" borderId="0" xfId="0"/>
    <xf numFmtId="0" fontId="0" fillId="0" borderId="0" xfId="0" applyAlignment="true">
      <alignment horizontal="left"/>
    </xf>
    <xf numFmtId="0" fontId="2" fillId="2" borderId="1" xfId="0" applyFont="true" applyFill="true" applyBorder="true" applyAlignment="true">
      <alignment horizontal="center"/>
    </xf>
    <xf numFmtId="0" fontId="2" fillId="2" borderId="1" xfId="0" applyFont="true" applyFill="true" applyBorder="true" applyAlignment="true">
      <alignment horizontal="left"/>
    </xf>
    <xf numFmtId="0" fontId="3" fillId="0" borderId="1" xfId="0" applyFont="true" applyBorder="true" applyAlignment="true">
      <alignment horizontal="left" vertical="center"/>
    </xf>
    <xf numFmtId="0" fontId="4" fillId="0" borderId="1" xfId="0" applyFont="true" applyBorder="true" applyAlignment="true">
      <alignment horizontal="center" vertical="center"/>
    </xf>
    <xf numFmtId="0" fontId="4" fillId="0" borderId="1" xfId="0" applyFont="true" applyFill="true" applyBorder="true" applyAlignment="true">
      <alignment horizontal="center" vertical="center"/>
    </xf>
    <xf numFmtId="0" fontId="4" fillId="0" borderId="1" xfId="0" applyFont="true" applyBorder="true" applyAlignment="true">
      <alignment horizontal="left" vertical="center"/>
    </xf>
    <xf numFmtId="0" fontId="4" fillId="0" borderId="2" xfId="0" applyFont="true" applyFill="true" applyBorder="true" applyAlignment="true">
      <alignment horizontal="center" vertical="center"/>
    </xf>
    <xf numFmtId="49" fontId="2" fillId="2" borderId="3" xfId="0" applyNumberFormat="true" applyFont="true" applyFill="true" applyBorder="true" applyAlignment="true">
      <alignment horizontal="center" vertical="center"/>
    </xf>
    <xf numFmtId="49" fontId="2" fillId="2" borderId="1" xfId="0" applyNumberFormat="true" applyFont="true" applyFill="true" applyBorder="true" applyAlignment="true">
      <alignment horizontal="center" vertical="center"/>
    </xf>
    <xf numFmtId="0" fontId="2" fillId="2" borderId="1" xfId="0" applyFont="true" applyFill="true" applyBorder="true" applyAlignment="true">
      <alignment horizontal="center" vertical="center"/>
    </xf>
    <xf numFmtId="0" fontId="0" fillId="0" borderId="1" xfId="0" applyFont="true" applyBorder="true" applyAlignment="true">
      <alignment horizontal="left" vertical="center"/>
    </xf>
    <xf numFmtId="0" fontId="0" fillId="0" borderId="1" xfId="0" applyFont="true" applyBorder="true" applyAlignment="true">
      <alignment horizontal="center" vertical="center"/>
    </xf>
    <xf numFmtId="0" fontId="0" fillId="0" borderId="4" xfId="0" applyFont="true" applyBorder="true" applyAlignment="true">
      <alignment horizontal="center" vertical="center"/>
    </xf>
    <xf numFmtId="0" fontId="0" fillId="0" borderId="0" xfId="0" applyFont="true" applyAlignment="true">
      <alignment horizontal="left"/>
    </xf>
    <xf numFmtId="49" fontId="5" fillId="0" borderId="0" xfId="0" applyNumberFormat="true" applyFont="true" applyAlignment="true">
      <alignment horizontal="left" vertical="center"/>
    </xf>
    <xf numFmtId="0" fontId="0" fillId="0" borderId="0" xfId="0" applyAlignment="true">
      <alignment vertical="center"/>
    </xf>
    <xf numFmtId="0" fontId="2" fillId="3" borderId="1" xfId="0" applyFont="true" applyFill="true" applyBorder="true" applyAlignment="true">
      <alignment horizontal="center" vertical="center"/>
    </xf>
    <xf numFmtId="0" fontId="2" fillId="4" borderId="1" xfId="0" applyFont="true" applyFill="true" applyBorder="true" applyAlignment="true">
      <alignment horizontal="center" vertical="center"/>
    </xf>
    <xf numFmtId="0" fontId="2" fillId="0" borderId="1" xfId="0" applyFont="true" applyBorder="true" applyAlignment="true">
      <alignment horizontal="center" vertical="center"/>
    </xf>
    <xf numFmtId="0" fontId="6" fillId="5" borderId="1" xfId="0" applyFont="true" applyFill="true" applyBorder="true" applyAlignment="true">
      <alignment horizontal="center" vertical="center"/>
    </xf>
    <xf numFmtId="0" fontId="2" fillId="5" borderId="1" xfId="0" applyFont="true" applyFill="true" applyBorder="true" applyAlignment="true">
      <alignment horizontal="center" vertical="center"/>
    </xf>
    <xf numFmtId="0" fontId="2" fillId="6" borderId="1" xfId="0" applyFont="true" applyFill="true" applyBorder="true" applyAlignment="true">
      <alignment horizontal="center" vertical="center"/>
    </xf>
    <xf numFmtId="0" fontId="2" fillId="7" borderId="1" xfId="0" applyFont="true" applyFill="true" applyBorder="true" applyAlignment="true">
      <alignment horizontal="center" vertical="center"/>
    </xf>
    <xf numFmtId="0" fontId="2" fillId="8" borderId="1" xfId="0" applyFont="true" applyFill="true" applyBorder="true" applyAlignment="true">
      <alignment horizontal="center" vertical="center"/>
    </xf>
    <xf numFmtId="0" fontId="0" fillId="0" borderId="0" xfId="0" applyAlignment="true">
      <alignment horizontal="left" vertical="center"/>
    </xf>
    <xf numFmtId="0" fontId="0" fillId="0" borderId="0" xfId="0" applyAlignment="true">
      <alignment horizontal="center"/>
    </xf>
    <xf numFmtId="0" fontId="3" fillId="0" borderId="0" xfId="0" applyFont="true" applyAlignment="true">
      <alignment horizontal="center" vertical="center"/>
    </xf>
    <xf numFmtId="0" fontId="0" fillId="0" borderId="0" xfId="0" applyAlignment="true">
      <alignment horizontal="center" vertical="center"/>
    </xf>
    <xf numFmtId="2" fontId="0" fillId="0" borderId="0" xfId="0" applyNumberFormat="true" applyAlignment="true">
      <alignment horizontal="center" vertical="center"/>
    </xf>
    <xf numFmtId="0" fontId="0" fillId="0" borderId="0" xfId="0" applyNumberFormat="true"/>
    <xf numFmtId="0" fontId="7" fillId="0" borderId="0" xfId="0" applyFont="true" applyAlignment="true">
      <alignment horizontal="center" vertical="center"/>
    </xf>
    <xf numFmtId="0" fontId="0" fillId="0" borderId="0" xfId="0" applyNumberFormat="true" applyAlignment="true">
      <alignment vertical="center"/>
    </xf>
    <xf numFmtId="0" fontId="0" fillId="0" borderId="0" xfId="0" applyAlignment="true">
      <alignment horizontal="right" vertical="center"/>
    </xf>
    <xf numFmtId="0" fontId="8" fillId="0" borderId="0" xfId="0" applyFont="true" applyAlignment="true">
      <alignment horizontal="left" vertical="center"/>
    </xf>
    <xf numFmtId="22" fontId="0" fillId="0" borderId="0" xfId="0" applyNumberFormat="true" applyAlignment="true">
      <alignment horizontal="left" vertical="center"/>
    </xf>
    <xf numFmtId="22" fontId="0" fillId="0" borderId="0" xfId="0" applyNumberFormat="true" applyAlignment="true">
      <alignment vertical="center"/>
    </xf>
    <xf numFmtId="0" fontId="9" fillId="2" borderId="1" xfId="0" applyFont="true" applyFill="true" applyBorder="true" applyAlignment="true">
      <alignment horizontal="center" vertical="center"/>
    </xf>
    <xf numFmtId="0" fontId="9" fillId="2" borderId="1" xfId="0" applyNumberFormat="true" applyFont="true" applyFill="true" applyBorder="true" applyAlignment="true">
      <alignment horizontal="center" vertical="center"/>
    </xf>
    <xf numFmtId="0" fontId="10" fillId="9" borderId="1" xfId="0" applyFont="true" applyFill="true" applyBorder="true" applyAlignment="true">
      <alignment horizontal="left" vertical="center"/>
    </xf>
    <xf numFmtId="0" fontId="2" fillId="9" borderId="1" xfId="0" applyFont="true" applyFill="true" applyBorder="true" applyAlignment="true">
      <alignment horizontal="left" vertical="center"/>
    </xf>
    <xf numFmtId="0" fontId="2" fillId="9" borderId="1" xfId="0" applyFont="true" applyFill="true" applyBorder="true" applyAlignment="true">
      <alignment horizontal="center" vertical="center"/>
    </xf>
    <xf numFmtId="0" fontId="2" fillId="9" borderId="1" xfId="0" applyNumberFormat="true" applyFont="true" applyFill="true" applyBorder="true" applyAlignment="true">
      <alignment horizontal="center" vertical="center"/>
    </xf>
    <xf numFmtId="2" fontId="0" fillId="9" borderId="1" xfId="0" applyNumberFormat="true" applyFill="true" applyBorder="true" applyAlignment="true">
      <alignment horizontal="center" vertical="center"/>
    </xf>
    <xf numFmtId="0" fontId="5" fillId="3" borderId="1" xfId="0" applyFont="true" applyFill="true" applyBorder="true" applyAlignment="true">
      <alignment horizontal="left" vertical="center" indent="1"/>
    </xf>
    <xf numFmtId="0" fontId="5" fillId="3" borderId="1" xfId="0" applyFont="true" applyFill="true" applyBorder="true" applyAlignment="true">
      <alignment horizontal="left" vertical="center"/>
    </xf>
    <xf numFmtId="0" fontId="0" fillId="3" borderId="1" xfId="0" applyFont="true" applyFill="true" applyBorder="true" applyAlignment="true">
      <alignment horizontal="left" vertical="center"/>
    </xf>
    <xf numFmtId="0" fontId="0" fillId="3" borderId="1" xfId="0" applyFont="true" applyFill="true" applyBorder="true" applyAlignment="true">
      <alignment horizontal="center" vertical="center"/>
    </xf>
    <xf numFmtId="0" fontId="0" fillId="3" borderId="1" xfId="0" applyNumberFormat="true" applyFont="true" applyFill="true" applyBorder="true" applyAlignment="true">
      <alignment horizontal="center" vertical="center"/>
    </xf>
    <xf numFmtId="2" fontId="0" fillId="3" borderId="1" xfId="0" applyNumberFormat="true" applyFill="true" applyBorder="true" applyAlignment="true">
      <alignment horizontal="center" vertical="center"/>
    </xf>
    <xf numFmtId="0" fontId="5" fillId="0" borderId="1" xfId="0" applyFont="true" applyBorder="true" applyAlignment="true">
      <alignment horizontal="left" vertical="center" indent="2"/>
    </xf>
    <xf numFmtId="0" fontId="5" fillId="0" borderId="1" xfId="0" applyFont="true" applyBorder="true" applyAlignment="true">
      <alignment horizontal="left" vertical="center"/>
    </xf>
    <xf numFmtId="0" fontId="0" fillId="0" borderId="1" xfId="0" applyNumberFormat="true" applyFont="true" applyBorder="true" applyAlignment="true">
      <alignment horizontal="center" vertical="center"/>
    </xf>
    <xf numFmtId="2" fontId="0" fillId="0" borderId="1" xfId="0" applyNumberFormat="true" applyFill="true" applyBorder="true" applyAlignment="true">
      <alignment horizontal="center" vertical="center"/>
    </xf>
    <xf numFmtId="0" fontId="11" fillId="0" borderId="0" xfId="0" applyFont="true" applyAlignment="true">
      <alignment horizontal="left" vertical="center"/>
    </xf>
    <xf numFmtId="0" fontId="12" fillId="0" borderId="0" xfId="0" applyFont="true" applyAlignment="true">
      <alignment horizontal="center" vertical="center"/>
    </xf>
    <xf numFmtId="0" fontId="13" fillId="0" borderId="0" xfId="0" applyFont="true" applyAlignment="true">
      <alignment vertical="center"/>
    </xf>
    <xf numFmtId="0" fontId="2" fillId="0" borderId="0" xfId="0" applyFont="true" applyAlignment="true">
      <alignment horizontal="center" vertical="center"/>
    </xf>
    <xf numFmtId="0" fontId="0" fillId="0" borderId="1" xfId="0" applyBorder="true" applyAlignment="true">
      <alignment horizontal="left" vertical="center"/>
    </xf>
    <xf numFmtId="0" fontId="0" fillId="0" borderId="1" xfId="0" applyBorder="true" applyAlignment="true">
      <alignment horizontal="center" vertical="center"/>
    </xf>
    <xf numFmtId="0" fontId="3" fillId="0" borderId="1" xfId="0" applyFont="true" applyBorder="true" applyAlignment="true">
      <alignment horizontal="center" vertical="center"/>
    </xf>
    <xf numFmtId="0" fontId="0" fillId="0" borderId="0" xfId="0" applyBorder="true" applyAlignment="true">
      <alignment vertical="center"/>
    </xf>
    <xf numFmtId="0" fontId="14" fillId="2" borderId="5" xfId="0" applyFont="true" applyFill="true" applyBorder="true" applyAlignment="true">
      <alignment horizontal="center" vertical="center"/>
    </xf>
    <xf numFmtId="0" fontId="0" fillId="0" borderId="4" xfId="0" applyBorder="true" applyAlignment="true">
      <alignment horizontal="left" vertical="center"/>
    </xf>
    <xf numFmtId="0" fontId="0" fillId="0" borderId="6" xfId="0" applyBorder="true" applyAlignment="true">
      <alignment horizontal="left" vertical="center"/>
    </xf>
    <xf numFmtId="0" fontId="0" fillId="0" borderId="3" xfId="0" applyBorder="true" applyAlignment="true">
      <alignment horizontal="left" vertical="center"/>
    </xf>
    <xf numFmtId="0" fontId="7" fillId="0" borderId="0" xfId="0" applyFont="true" applyAlignment="true">
      <alignment horizontal="left" vertical="center"/>
    </xf>
    <xf numFmtId="0" fontId="2" fillId="10" borderId="1" xfId="0" applyFont="true" applyFill="true" applyBorder="true" applyAlignment="true">
      <alignment horizontal="center" vertical="center"/>
    </xf>
    <xf numFmtId="0" fontId="2" fillId="11" borderId="1" xfId="0" applyFont="true" applyFill="true" applyBorder="true" applyAlignment="true">
      <alignment horizontal="center" vertical="center"/>
    </xf>
    <xf numFmtId="0" fontId="3" fillId="9" borderId="1" xfId="0" applyFont="true" applyFill="true" applyBorder="true" applyAlignment="true">
      <alignment horizontal="left" vertical="center"/>
    </xf>
    <xf numFmtId="0" fontId="3" fillId="3" borderId="1" xfId="0" applyFont="true" applyFill="true" applyBorder="true" applyAlignment="true">
      <alignment horizontal="left" vertical="center"/>
    </xf>
    <xf numFmtId="0" fontId="0" fillId="9" borderId="1" xfId="0" applyFill="true" applyBorder="true" applyAlignment="true">
      <alignment horizontal="left" vertical="center"/>
    </xf>
    <xf numFmtId="0" fontId="0" fillId="9" borderId="1" xfId="0" applyFill="true" applyBorder="true" applyAlignment="true">
      <alignment horizontal="center" vertical="center"/>
    </xf>
    <xf numFmtId="0" fontId="0" fillId="3" borderId="1" xfId="0" applyFill="true" applyBorder="true" applyAlignment="true">
      <alignment horizontal="left" vertical="center"/>
    </xf>
    <xf numFmtId="0" fontId="0" fillId="3" borderId="1" xfId="0" applyFill="true" applyBorder="true" applyAlignment="true">
      <alignment horizontal="center" vertical="center"/>
    </xf>
    <xf numFmtId="10" fontId="0" fillId="0" borderId="0" xfId="0" applyNumberFormat="true" applyAlignment="true">
      <alignment horizontal="center" vertical="center"/>
    </xf>
    <xf numFmtId="0" fontId="1" fillId="0" borderId="0" xfId="1" applyAlignment="true">
      <alignment vertical="center"/>
    </xf>
    <xf numFmtId="0" fontId="1" fillId="0" borderId="0" xfId="1" applyAlignment="true">
      <alignment horizontal="right" vertical="center"/>
    </xf>
    <xf numFmtId="0" fontId="2" fillId="0" borderId="0" xfId="0" applyFont="true" applyAlignment="true">
      <alignment vertical="center"/>
    </xf>
    <xf numFmtId="0" fontId="15" fillId="0" borderId="0" xfId="0" applyFont="true" applyAlignment="true">
      <alignment vertical="center"/>
    </xf>
    <xf numFmtId="0" fontId="0" fillId="12" borderId="1" xfId="0" applyFill="true" applyBorder="true" applyAlignment="true">
      <alignment horizontal="center" vertical="center"/>
    </xf>
    <xf numFmtId="0" fontId="0" fillId="12" borderId="1" xfId="0" applyFill="true" applyBorder="true" applyAlignment="true">
      <alignment horizontal="left" vertical="center"/>
    </xf>
    <xf numFmtId="0" fontId="8" fillId="0" borderId="0" xfId="0" applyFont="true" applyAlignment="true">
      <alignment vertical="center"/>
    </xf>
    <xf numFmtId="0" fontId="8" fillId="0" borderId="0" xfId="0" applyFont="true" applyAlignment="true">
      <alignment horizontal="right" vertical="center"/>
    </xf>
    <xf numFmtId="0" fontId="16" fillId="2" borderId="5" xfId="0" applyFont="true" applyFill="true" applyBorder="true" applyAlignment="true">
      <alignment horizontal="center" vertical="center"/>
    </xf>
    <xf numFmtId="0" fontId="2" fillId="2" borderId="4" xfId="0" applyFont="true" applyFill="true" applyBorder="true" applyAlignment="true">
      <alignment horizontal="center" vertical="center"/>
    </xf>
    <xf numFmtId="0" fontId="2" fillId="2" borderId="6" xfId="0" applyFont="true" applyFill="true" applyBorder="true" applyAlignment="true">
      <alignment horizontal="center" vertical="center"/>
    </xf>
    <xf numFmtId="0" fontId="2" fillId="2" borderId="3" xfId="0" applyFont="true" applyFill="true" applyBorder="true" applyAlignment="true">
      <alignment horizontal="center" vertical="center"/>
    </xf>
    <xf numFmtId="0" fontId="2" fillId="2" borderId="5" xfId="0" applyFont="true" applyFill="true" applyBorder="true" applyAlignment="true">
      <alignment horizontal="center" vertical="center"/>
    </xf>
    <xf numFmtId="0" fontId="17" fillId="0" borderId="0" xfId="0" applyFont="true" applyAlignment="true">
      <alignment horizontal="left" vertical="center"/>
    </xf>
    <xf numFmtId="0" fontId="17" fillId="0" borderId="0" xfId="0" applyFont="true" applyAlignment="true">
      <alignment horizontal="right" vertical="center"/>
    </xf>
    <xf numFmtId="0" fontId="17" fillId="0" borderId="0" xfId="0" applyFont="true" applyAlignment="true">
      <alignment vertical="center"/>
    </xf>
    <xf numFmtId="0" fontId="13" fillId="0" borderId="0" xfId="0" applyFont="true"/>
    <xf numFmtId="0" fontId="0" fillId="0" borderId="1" xfId="0" applyBorder="true" applyAlignment="true">
      <alignment horizontal="left"/>
    </xf>
    <xf numFmtId="0" fontId="0" fillId="0" borderId="1" xfId="0" applyBorder="true" applyAlignment="true">
      <alignment horizontal="center"/>
    </xf>
    <xf numFmtId="0" fontId="0" fillId="0" borderId="0" xfId="0" applyAlignment="true">
      <alignment wrapText="true"/>
    </xf>
    <xf numFmtId="0" fontId="7" fillId="0" borderId="0" xfId="0" applyFont="true"/>
    <xf numFmtId="0" fontId="8" fillId="0" borderId="0" xfId="0" applyFont="true"/>
  </cellXfs>
  <cellStyles count="2">
    <cellStyle name="Normal" xfId="0" builtinId="0"/>
    <cellStyle name="Normal 2" xfId="1"/>
  </cellStyles>
  <tableStyles xmlns="http://schemas.openxmlformats.org/spreadsheetml/2006/main" count="0" defaultTableStyle="TableStyleMedium2" defaultPivotStyle="PivotStyleLight16"/>
  <extLst xmlns="http://schemas.openxmlformats.org/spreadsheetml/2006/main">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sharedStrings.xml.rels><?xml version="1.0" encoding="utf-8" standalone="yes"?><Relationships xmlns="http://schemas.openxmlformats.org/package/2006/relationships"><Relationship Id="rId12" Type="http://schemas.openxmlformats.org/officeDocument/2006/relationships/theme" Target="theme/theme1.xml" /><Relationship Id="rId16" Type="http://schemas.microsoft.com/office/2006/relationships/vbaProject" Target="vbaProject.bin" /></Relationships>
</file>

<file path=xl/_rels/workbook.xml.rels><?xml version="1.0" encoding="utf-8" standalone="yes"?><Relationships xmlns="http://schemas.openxmlformats.org/package/2006/relationships"><Relationship Id="rId12" Type="http://schemas.openxmlformats.org/officeDocument/2006/relationships/theme" Target="theme/theme1.xml" /><Relationship Id="rId16" Type="http://schemas.microsoft.com/office/2006/relationships/vbaProject" Target="vbaProject.bin" /><Relationship Id="rId3" Type="http://schemas.openxmlformats.org/officeDocument/2006/relationships/worksheet" Target="worksheets/sheet1.xml" /><Relationship Id="rId4" Type="http://schemas.openxmlformats.org/officeDocument/2006/relationships/worksheet" Target="worksheets/sheet2.xml" /><Relationship Id="rId5" Type="http://schemas.openxmlformats.org/officeDocument/2006/relationships/worksheet" Target="worksheets/sheet3.xml" /><Relationship Id="rId6" Type="http://schemas.openxmlformats.org/officeDocument/2006/relationships/worksheet" Target="worksheets/sheet4.xml" /><Relationship Id="rId7" Type="http://schemas.openxmlformats.org/officeDocument/2006/relationships/worksheet" Target="worksheets/sheet5.xml" /><Relationship Id="rId8" Type="http://schemas.openxmlformats.org/officeDocument/2006/relationships/worksheet" Target="worksheets/sheet6.xml" /><Relationship Id="rId9" Type="http://schemas.openxmlformats.org/officeDocument/2006/relationships/worksheet" Target="worksheets/sheet7.xml" /><Relationship Id="rId10" Type="http://schemas.openxmlformats.org/officeDocument/2006/relationships/worksheet" Target="worksheets/sheet8.xml" /><Relationship Id="rId11" Type="http://schemas.openxmlformats.org/officeDocument/2006/relationships/worksheet" Target="worksheets/sheet9.xml" /><Relationship Id="rId13" Type="http://schemas.openxmlformats.org/officeDocument/2006/relationships/worksheet" Target="worksheets/sheet10.xml" /><Relationship Id="rId14" Type="http://schemas.openxmlformats.org/officeDocument/2006/relationships/worksheet" Target="worksheets/sheet11.xml" /><Relationship Id="rId15" Type="http://schemas.openxmlformats.org/officeDocument/2006/relationships/sharedStrings" Target="sharedStrings.xml" /><Relationship Id="rId17" Type="http://schemas.openxmlformats.org/officeDocument/2006/relationships/styles" Target="style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2.bin" /><Relationship Id="rId2" Type="http://schemas.openxmlformats.org/officeDocument/2006/relationships/vmlDrawing" Target="../drawings/GemVmlDrawing1.vml" /><Relationship Id="rId3" Type="http://schemas.openxmlformats.org/officeDocument/2006/relationships/comments" Target="../GemComments1.xml" /></Relationships>
</file>

<file path=xl/worksheets/_rels/sheet4.xml.rels><?xml version="1.0" encoding="utf-8" standalone="yes"?><Relationships xmlns="http://schemas.openxmlformats.org/package/2006/relationships"><Relationship Id="rId1" Type="http://schemas.openxmlformats.org/officeDocument/2006/relationships/printerSettings" Target="../printerSettings/printerSettings3.bin" /></Relationships>
</file>

<file path=xl/worksheets/_rels/sheet6.xml.rels><?xml version="1.0" encoding="utf-8" standalone="yes"?><Relationships xmlns="http://schemas.openxmlformats.org/package/2006/relationships"><Relationship Id="rId1" Type="http://schemas.openxmlformats.org/officeDocument/2006/relationships/printerSettings" Target="../printerSettings/printerSettings4.bin" /></Relationships>
</file>

<file path=xl/worksheets/_rels/sheet7.xml.rels><?xml version="1.0" encoding="utf-8" standalone="yes"?><Relationships xmlns="http://schemas.openxmlformats.org/package/2006/relationships"><Relationship Id="rId1" Type="http://schemas.openxmlformats.org/officeDocument/2006/relationships/printerSettings" Target="../printerSettings/printerSettings5.bin" /></Relationships>
</file>

<file path=xl/worksheets/_rels/sheet9.xml.rels><?xml version="1.0" encoding="utf-8" standalone="yes"?><Relationships xmlns="http://schemas.openxmlformats.org/package/2006/relationships"><Relationship Id="rId1" Type="http://schemas.openxmlformats.org/officeDocument/2006/relationships/printerSettings" Target="../printerSettings/printerSettings6.bin" /></Relationships>
</file>

<file path=xl/worksheets/_rels/sheet10.xml.rels><?xml version="1.0" encoding="utf-8" standalone="yes"?><Relationships xmlns="http://schemas.openxmlformats.org/package/2006/relationships"><Relationship Id="rId1" Type="http://schemas.openxmlformats.org/officeDocument/2006/relationships/printerSettings" Target="../printerSettings/printerSettings7.bin" /></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8.bin" /></Relationships>
</file>

<file path=xl/worksheets/sheet1.xml><?xml version="1.0" encoding="utf-8"?>
<worksheet xmlns="http://schemas.openxmlformats.org/spreadsheetml/2006/main" xmlns:r="http://schemas.openxmlformats.org/officeDocument/2006/relationships" xmlns:x14="http://schemas.microsoft.com/office/spreadsheetml/2009/9/main">
  <sheetPr codeName="Sheet1"/>
  <dimension ref="A1:N130"/>
  <sheetViews>
    <sheetView tabSelected="1" workbookViewId="0" topLeftCell="A1" zoomScaleNormal="100" zoomScaleSheetLayoutView="60" zoomScale="100" view="normal">
      <selection activeCell="F15" sqref="F15"/>
    </sheetView>
  </sheetViews>
  <sheetFormatPr defaultRowHeight="15"/>
  <cols>
    <col min="1" max="1" width="35.71094" customWidth="1" style="1"/>
    <col min="2" max="2" width="45.71094" customWidth="1"/>
    <col min="3" max="3" width="20.71094" customWidth="1"/>
    <col min="4" max="4" width="10.71094" customWidth="1"/>
    <col min="5" max="5" width="20.71094" customWidth="1"/>
    <col min="6" max="6" width="13.28516" customWidth="1"/>
    <col min="7" max="7" width="12.57031" customWidth="1"/>
    <col min="8" max="8" width="15.85547" customWidth="1"/>
    <col min="9" max="9" width="18.14063" customWidth="1" style="1"/>
    <col min="10" max="10" width="20" customWidth="1"/>
  </cols>
  <sheetData>
    <row r="1">
      <c r="A1" s="2" t="s">
        <v>0</v>
      </c>
      <c r="B1" s="2" t="s">
        <v>1</v>
      </c>
      <c r="C1" s="2" t="s">
        <v>2</v>
      </c>
      <c r="D1" s="2" t="s">
        <v>3</v>
      </c>
      <c r="E1" s="2" t="s">
        <v>4</v>
      </c>
      <c r="F1" s="2" t="s">
        <v>5</v>
      </c>
      <c r="G1" s="2" t="s">
        <v>6</v>
      </c>
      <c r="H1" s="2" t="s">
        <v>7</v>
      </c>
      <c r="I1" s="3" t="s">
        <v>8</v>
      </c>
      <c r="J1" s="2" t="s">
        <v>9</v>
      </c>
      <c r="K1" s="2" t="s">
        <v>10</v>
      </c>
    </row>
    <row r="2">
      <c r="A2" s="4" t="str">
        <f ca="1">ModifyCode(M2)</f>
        <v>#NAME?</v>
      </c>
      <c r="B2" s="4" t="s">
        <v>11</v>
      </c>
      <c r="C2" s="5" t="s">
        <v>12</v>
      </c>
      <c r="D2" s="5" t="s">
        <v>13</v>
      </c>
      <c r="E2" s="5"/>
      <c r="F2" s="6"/>
      <c r="G2" s="6"/>
      <c r="H2" s="6"/>
      <c r="I2" s="7"/>
      <c r="J2" s="4"/>
      <c r="K2" s="6"/>
      <c r="M2" s="8" t="s">
        <v>14</v>
      </c>
      <c r="N2" s="8"/>
    </row>
    <row r="3">
      <c r="A3" s="4" t="str">
        <f ca="1">ModifyCode(M3)</f>
        <v>#NAME?</v>
      </c>
      <c r="B3" s="4" t="s">
        <v>15</v>
      </c>
      <c r="C3" s="5" t="s">
        <v>12</v>
      </c>
      <c r="D3" s="5" t="s">
        <v>13</v>
      </c>
      <c r="E3" s="5"/>
      <c r="F3" s="6"/>
      <c r="G3" s="6"/>
      <c r="H3" s="6"/>
      <c r="I3" s="7" t="s">
        <v>12</v>
      </c>
      <c r="J3" s="4"/>
      <c r="K3" s="6"/>
      <c r="M3" s="8" t="s">
        <v>16</v>
      </c>
      <c r="N3" s="8"/>
    </row>
    <row r="4">
      <c r="A4" s="4" t="str">
        <f ca="1">ModifyCode(M4)</f>
        <v>#NAME?</v>
      </c>
      <c r="B4" s="4" t="s">
        <v>17</v>
      </c>
      <c r="C4" s="5" t="s">
        <v>18</v>
      </c>
      <c r="D4" s="5" t="s">
        <v>13</v>
      </c>
      <c r="E4" s="5" t="s">
        <v>19</v>
      </c>
      <c r="F4" s="6">
        <v>840</v>
      </c>
      <c r="G4" s="6">
        <v>144</v>
      </c>
      <c r="H4" s="6">
        <v>18</v>
      </c>
      <c r="I4" s="7" t="s">
        <v>12</v>
      </c>
      <c r="J4" s="4"/>
      <c r="K4" s="6">
        <v>1.7410000000000001</v>
      </c>
      <c r="M4" s="8" t="s">
        <v>20</v>
      </c>
      <c r="N4" s="8"/>
    </row>
    <row r="5">
      <c r="A5" s="4" t="str">
        <f ca="1">ModifyCode(M5)</f>
        <v>#NAME?</v>
      </c>
      <c r="B5" s="4" t="s">
        <v>21</v>
      </c>
      <c r="C5" s="5" t="s">
        <v>19</v>
      </c>
      <c r="D5" s="5"/>
      <c r="E5" s="5"/>
      <c r="F5" s="6">
        <v>840</v>
      </c>
      <c r="G5" s="6">
        <v>144</v>
      </c>
      <c r="H5" s="6">
        <v>18</v>
      </c>
      <c r="I5" s="7" t="s">
        <v>18</v>
      </c>
      <c r="J5" s="4" t="s">
        <v>22</v>
      </c>
      <c r="K5" s="6"/>
      <c r="M5" s="8" t="s">
        <v>23</v>
      </c>
      <c r="N5" s="8"/>
    </row>
    <row r="6">
      <c r="A6" s="4" t="str">
        <f ca="1">ModifyCode(M6)</f>
        <v>#NAME?</v>
      </c>
      <c r="B6" s="4" t="s">
        <v>24</v>
      </c>
      <c r="C6" s="5" t="s">
        <v>25</v>
      </c>
      <c r="D6" s="5"/>
      <c r="E6" s="5"/>
      <c r="F6" s="6"/>
      <c r="G6" s="6"/>
      <c r="H6" s="6">
        <v>18</v>
      </c>
      <c r="I6" s="7" t="s">
        <v>19</v>
      </c>
      <c r="J6" s="4"/>
      <c r="K6" s="6"/>
      <c r="M6" s="8" t="s">
        <v>22</v>
      </c>
      <c r="N6" s="8"/>
    </row>
    <row r="7">
      <c r="A7" s="4" t="str">
        <f ca="1">ModifyCode(M7)</f>
        <v>#NAME?</v>
      </c>
      <c r="B7" s="4" t="s">
        <v>21</v>
      </c>
      <c r="C7" s="5" t="s">
        <v>26</v>
      </c>
      <c r="D7" s="5"/>
      <c r="E7" s="5"/>
      <c r="F7" s="6">
        <v>840</v>
      </c>
      <c r="G7" s="6">
        <v>22</v>
      </c>
      <c r="H7" s="6">
        <v>0.45000000000000001</v>
      </c>
      <c r="I7" s="7" t="s">
        <v>18</v>
      </c>
      <c r="J7" s="4" t="s">
        <v>27</v>
      </c>
      <c r="K7" s="6"/>
      <c r="M7" s="8" t="s">
        <v>28</v>
      </c>
      <c r="N7" s="8"/>
    </row>
    <row r="8">
      <c r="A8" s="4" t="str">
        <f ca="1">ModifyCode(M8)</f>
        <v>#NAME?</v>
      </c>
      <c r="B8" s="4" t="s">
        <v>29</v>
      </c>
      <c r="C8" s="5" t="s">
        <v>30</v>
      </c>
      <c r="D8" s="5"/>
      <c r="E8" s="5"/>
      <c r="F8" s="6"/>
      <c r="G8" s="6">
        <v>22</v>
      </c>
      <c r="H8" s="6">
        <v>0.45000000000000001</v>
      </c>
      <c r="I8" s="7" t="s">
        <v>26</v>
      </c>
      <c r="J8" s="4"/>
      <c r="K8" s="6"/>
      <c r="M8" s="8" t="s">
        <v>27</v>
      </c>
      <c r="N8" s="8"/>
    </row>
    <row r="9">
      <c r="A9" s="4" t="str">
        <f ca="1">ModifyCode(M9)</f>
        <v>#NAME?</v>
      </c>
      <c r="B9" s="4" t="s">
        <v>31</v>
      </c>
      <c r="C9" s="5" t="s">
        <v>18</v>
      </c>
      <c r="D9" s="5" t="s">
        <v>13</v>
      </c>
      <c r="E9" s="5" t="s">
        <v>19</v>
      </c>
      <c r="F9" s="6">
        <v>456</v>
      </c>
      <c r="G9" s="6">
        <v>144</v>
      </c>
      <c r="H9" s="6">
        <v>18</v>
      </c>
      <c r="I9" s="7" t="s">
        <v>12</v>
      </c>
      <c r="J9" s="4"/>
      <c r="K9" s="6">
        <v>0.94299999999999995</v>
      </c>
      <c r="M9" s="8" t="s">
        <v>32</v>
      </c>
      <c r="N9" s="8"/>
    </row>
    <row r="10">
      <c r="A10" s="4" t="str">
        <f ca="1">ModifyCode(M10)</f>
        <v>#NAME?</v>
      </c>
      <c r="B10" s="4" t="s">
        <v>33</v>
      </c>
      <c r="C10" s="5" t="s">
        <v>19</v>
      </c>
      <c r="D10" s="5"/>
      <c r="E10" s="5"/>
      <c r="F10" s="6">
        <v>456</v>
      </c>
      <c r="G10" s="6">
        <v>144</v>
      </c>
      <c r="H10" s="6">
        <v>18</v>
      </c>
      <c r="I10" s="7" t="s">
        <v>18</v>
      </c>
      <c r="J10" s="4" t="s">
        <v>22</v>
      </c>
      <c r="K10" s="6"/>
      <c r="M10" s="8" t="s">
        <v>34</v>
      </c>
      <c r="N10" s="8"/>
    </row>
    <row r="11">
      <c r="A11" s="4" t="str">
        <f ca="1">ModifyCode(M11)</f>
        <v>#NAME?</v>
      </c>
      <c r="B11" s="4" t="s">
        <v>33</v>
      </c>
      <c r="C11" s="5" t="s">
        <v>26</v>
      </c>
      <c r="D11" s="5"/>
      <c r="E11" s="5"/>
      <c r="F11" s="6">
        <v>144</v>
      </c>
      <c r="G11" s="6">
        <v>22</v>
      </c>
      <c r="H11" s="6">
        <v>0.45000000000000001</v>
      </c>
      <c r="I11" s="7" t="s">
        <v>18</v>
      </c>
      <c r="J11" s="4" t="s">
        <v>27</v>
      </c>
      <c r="K11" s="6"/>
      <c r="M11" s="8" t="s">
        <v>35</v>
      </c>
      <c r="N11" s="8"/>
    </row>
    <row r="12">
      <c r="A12" s="4" t="str">
        <f ca="1">ModifyCode(M12)</f>
        <v>#NAME?</v>
      </c>
      <c r="B12" s="4" t="s">
        <v>33</v>
      </c>
      <c r="C12" s="5" t="s">
        <v>26</v>
      </c>
      <c r="D12" s="5"/>
      <c r="E12" s="5"/>
      <c r="F12" s="6">
        <v>456</v>
      </c>
      <c r="G12" s="6">
        <v>22</v>
      </c>
      <c r="H12" s="6">
        <v>0.45000000000000001</v>
      </c>
      <c r="I12" s="7" t="s">
        <v>18</v>
      </c>
      <c r="J12" s="4" t="s">
        <v>27</v>
      </c>
      <c r="K12" s="6"/>
      <c r="M12" s="8" t="s">
        <v>36</v>
      </c>
      <c r="N12" s="8"/>
    </row>
    <row r="13">
      <c r="A13" s="4" t="str">
        <f ca="1">ModifyCode(M13)</f>
        <v>#NAME?</v>
      </c>
      <c r="B13" s="4" t="s">
        <v>37</v>
      </c>
      <c r="C13" s="5" t="s">
        <v>18</v>
      </c>
      <c r="D13" s="5" t="s">
        <v>13</v>
      </c>
      <c r="E13" s="5" t="s">
        <v>19</v>
      </c>
      <c r="F13" s="6">
        <v>456</v>
      </c>
      <c r="G13" s="6">
        <v>144</v>
      </c>
      <c r="H13" s="6">
        <v>18</v>
      </c>
      <c r="I13" s="7" t="s">
        <v>12</v>
      </c>
      <c r="J13" s="4"/>
      <c r="K13" s="6">
        <v>0.94299999999999995</v>
      </c>
      <c r="M13" s="8" t="s">
        <v>38</v>
      </c>
      <c r="N13" s="8"/>
    </row>
    <row r="14">
      <c r="A14" s="4" t="str">
        <f ca="1">ModifyCode(M14)</f>
        <v>#NAME?</v>
      </c>
      <c r="B14" s="4" t="s">
        <v>39</v>
      </c>
      <c r="C14" s="5" t="s">
        <v>19</v>
      </c>
      <c r="D14" s="5"/>
      <c r="E14" s="5"/>
      <c r="F14" s="6">
        <v>456</v>
      </c>
      <c r="G14" s="6">
        <v>144</v>
      </c>
      <c r="H14" s="6">
        <v>18</v>
      </c>
      <c r="I14" s="7" t="s">
        <v>18</v>
      </c>
      <c r="J14" s="4" t="s">
        <v>22</v>
      </c>
      <c r="K14" s="6"/>
      <c r="M14" s="8" t="s">
        <v>40</v>
      </c>
      <c r="N14" s="8"/>
    </row>
    <row r="15">
      <c r="A15" s="4" t="str">
        <f ca="1">ModifyCode(M15)</f>
        <v>#NAME?</v>
      </c>
      <c r="B15" s="4" t="s">
        <v>39</v>
      </c>
      <c r="C15" s="5" t="s">
        <v>26</v>
      </c>
      <c r="D15" s="5"/>
      <c r="E15" s="5"/>
      <c r="F15" s="6">
        <v>144</v>
      </c>
      <c r="G15" s="6">
        <v>22</v>
      </c>
      <c r="H15" s="6">
        <v>0.45000000000000001</v>
      </c>
      <c r="I15" s="7" t="s">
        <v>18</v>
      </c>
      <c r="J15" s="4" t="s">
        <v>27</v>
      </c>
      <c r="K15" s="6"/>
      <c r="M15" s="8" t="s">
        <v>41</v>
      </c>
      <c r="N15" s="8"/>
    </row>
    <row r="16">
      <c r="A16" s="4" t="str">
        <f ca="1">ModifyCode(M16)</f>
        <v>#NAME?</v>
      </c>
      <c r="B16" s="4" t="s">
        <v>39</v>
      </c>
      <c r="C16" s="5" t="s">
        <v>26</v>
      </c>
      <c r="D16" s="5"/>
      <c r="E16" s="5"/>
      <c r="F16" s="6">
        <v>456</v>
      </c>
      <c r="G16" s="6">
        <v>22</v>
      </c>
      <c r="H16" s="6">
        <v>0.45000000000000001</v>
      </c>
      <c r="I16" s="7" t="s">
        <v>18</v>
      </c>
      <c r="J16" s="4" t="s">
        <v>27</v>
      </c>
      <c r="K16" s="6"/>
      <c r="M16" s="8" t="s">
        <v>42</v>
      </c>
      <c r="N16" s="8"/>
    </row>
    <row r="17">
      <c r="A17" s="4" t="str">
        <f ca="1">ModifyCode(M17)</f>
        <v>#NAME?</v>
      </c>
      <c r="B17" s="4" t="s">
        <v>43</v>
      </c>
      <c r="C17" s="5" t="s">
        <v>18</v>
      </c>
      <c r="D17" s="5" t="s">
        <v>13</v>
      </c>
      <c r="E17" s="5" t="s">
        <v>19</v>
      </c>
      <c r="F17" s="6">
        <v>840</v>
      </c>
      <c r="G17" s="6">
        <v>144</v>
      </c>
      <c r="H17" s="6">
        <v>18</v>
      </c>
      <c r="I17" s="7" t="s">
        <v>12</v>
      </c>
      <c r="J17" s="4"/>
      <c r="K17" s="6">
        <v>1.7410000000000001</v>
      </c>
      <c r="M17" s="8" t="s">
        <v>44</v>
      </c>
      <c r="N17" s="8"/>
    </row>
    <row r="18">
      <c r="A18" s="4" t="str">
        <f ca="1">ModifyCode(M18)</f>
        <v>#NAME?</v>
      </c>
      <c r="B18" s="4" t="s">
        <v>45</v>
      </c>
      <c r="C18" s="5" t="s">
        <v>19</v>
      </c>
      <c r="D18" s="5"/>
      <c r="E18" s="5"/>
      <c r="F18" s="6">
        <v>840</v>
      </c>
      <c r="G18" s="6">
        <v>144</v>
      </c>
      <c r="H18" s="6">
        <v>18</v>
      </c>
      <c r="I18" s="7" t="s">
        <v>18</v>
      </c>
      <c r="J18" s="4" t="s">
        <v>22</v>
      </c>
      <c r="K18" s="6"/>
      <c r="M18" s="8" t="s">
        <v>46</v>
      </c>
      <c r="N18" s="8"/>
    </row>
    <row r="19">
      <c r="A19" s="4" t="str">
        <f ca="1">ModifyCode(M19)</f>
        <v>#NAME?</v>
      </c>
      <c r="B19" s="4" t="s">
        <v>45</v>
      </c>
      <c r="C19" s="5" t="s">
        <v>26</v>
      </c>
      <c r="D19" s="5"/>
      <c r="E19" s="5"/>
      <c r="F19" s="6">
        <v>840</v>
      </c>
      <c r="G19" s="6">
        <v>22</v>
      </c>
      <c r="H19" s="6">
        <v>0.45000000000000001</v>
      </c>
      <c r="I19" s="7" t="s">
        <v>18</v>
      </c>
      <c r="J19" s="4" t="s">
        <v>27</v>
      </c>
      <c r="K19" s="6"/>
      <c r="M19" s="8" t="s">
        <v>47</v>
      </c>
      <c r="N19" s="8"/>
    </row>
    <row r="20">
      <c r="A20" s="4" t="str">
        <f ca="1">ModifyCode(M20)</f>
        <v>#NAME?</v>
      </c>
      <c r="B20" s="4" t="s">
        <v>48</v>
      </c>
      <c r="C20" s="5" t="s">
        <v>18</v>
      </c>
      <c r="D20" s="5" t="s">
        <v>13</v>
      </c>
      <c r="E20" s="5" t="s">
        <v>19</v>
      </c>
      <c r="F20" s="6">
        <v>875</v>
      </c>
      <c r="G20" s="6">
        <v>453</v>
      </c>
      <c r="H20" s="6">
        <v>3</v>
      </c>
      <c r="I20" s="7" t="s">
        <v>12</v>
      </c>
      <c r="J20" s="4"/>
      <c r="K20" s="6">
        <v>1.0149999999999999</v>
      </c>
      <c r="M20" s="8" t="s">
        <v>49</v>
      </c>
      <c r="N20" s="8"/>
    </row>
    <row r="21">
      <c r="A21" s="4" t="str">
        <f ca="1">ModifyCode(M21)</f>
        <v>#NAME?</v>
      </c>
      <c r="B21" s="4" t="s">
        <v>50</v>
      </c>
      <c r="C21" s="5" t="s">
        <v>19</v>
      </c>
      <c r="D21" s="5"/>
      <c r="E21" s="5"/>
      <c r="F21" s="6">
        <v>875</v>
      </c>
      <c r="G21" s="6">
        <v>453</v>
      </c>
      <c r="H21" s="6">
        <v>3</v>
      </c>
      <c r="I21" s="7" t="s">
        <v>18</v>
      </c>
      <c r="J21" s="4" t="s">
        <v>51</v>
      </c>
      <c r="K21" s="6"/>
      <c r="M21" s="8" t="s">
        <v>52</v>
      </c>
      <c r="N21" s="8"/>
    </row>
    <row r="22">
      <c r="A22" s="4" t="str">
        <f ca="1">ModifyCode(M22)</f>
        <v>#NAME?</v>
      </c>
      <c r="B22" s="4" t="s">
        <v>53</v>
      </c>
      <c r="C22" s="5" t="s">
        <v>25</v>
      </c>
      <c r="D22" s="5"/>
      <c r="E22" s="5"/>
      <c r="F22" s="6"/>
      <c r="G22" s="6"/>
      <c r="H22" s="6">
        <v>3</v>
      </c>
      <c r="I22" s="7" t="s">
        <v>19</v>
      </c>
      <c r="J22" s="4"/>
      <c r="K22" s="6"/>
      <c r="M22" s="8" t="s">
        <v>51</v>
      </c>
      <c r="N22" s="8"/>
    </row>
    <row r="23">
      <c r="A23" s="4" t="str">
        <f ca="1">ModifyCode(M23)</f>
        <v>#NAME?</v>
      </c>
      <c r="B23" s="4" t="s">
        <v>54</v>
      </c>
      <c r="C23" s="5" t="s">
        <v>55</v>
      </c>
      <c r="D23" s="5" t="s">
        <v>55</v>
      </c>
      <c r="E23" s="5"/>
      <c r="F23" s="6"/>
      <c r="G23" s="6"/>
      <c r="H23" s="6"/>
      <c r="I23" s="7" t="s">
        <v>12</v>
      </c>
      <c r="J23" s="4"/>
      <c r="K23" s="6"/>
      <c r="M23" s="8" t="s">
        <v>56</v>
      </c>
      <c r="N23" s="8"/>
    </row>
    <row r="24">
      <c r="A24" s="4" t="str">
        <f ca="1">ModifyCode(M24)</f>
        <v>#NAME?</v>
      </c>
      <c r="B24" s="4" t="s">
        <v>57</v>
      </c>
      <c r="C24" s="5" t="s">
        <v>55</v>
      </c>
      <c r="D24" s="5" t="s">
        <v>55</v>
      </c>
      <c r="E24" s="5"/>
      <c r="F24" s="6"/>
      <c r="G24" s="6"/>
      <c r="H24" s="6"/>
      <c r="I24" s="7" t="s">
        <v>12</v>
      </c>
      <c r="J24" s="4"/>
      <c r="K24" s="6"/>
      <c r="M24" s="8" t="s">
        <v>56</v>
      </c>
      <c r="N24" s="8"/>
    </row>
    <row r="25">
      <c r="A25" s="4" t="str">
        <f ca="1">ModifyCode(M25)</f>
        <v>#NAME?</v>
      </c>
      <c r="B25" s="4" t="s">
        <v>58</v>
      </c>
      <c r="C25" s="5" t="s">
        <v>55</v>
      </c>
      <c r="D25" s="5" t="s">
        <v>55</v>
      </c>
      <c r="E25" s="5"/>
      <c r="F25" s="6"/>
      <c r="G25" s="6"/>
      <c r="H25" s="6"/>
      <c r="I25" s="7" t="s">
        <v>12</v>
      </c>
      <c r="J25" s="4"/>
      <c r="K25" s="6"/>
      <c r="M25" s="8" t="s">
        <v>59</v>
      </c>
      <c r="N25" s="8"/>
    </row>
    <row r="26">
      <c r="A26" s="4" t="str">
        <f ca="1">ModifyCode(M26)</f>
        <v>#NAME?</v>
      </c>
      <c r="B26" s="4" t="s">
        <v>60</v>
      </c>
      <c r="C26" s="5" t="s">
        <v>55</v>
      </c>
      <c r="D26" s="5" t="s">
        <v>55</v>
      </c>
      <c r="E26" s="5"/>
      <c r="F26" s="6"/>
      <c r="G26" s="6"/>
      <c r="H26" s="6"/>
      <c r="I26" s="7" t="s">
        <v>12</v>
      </c>
      <c r="J26" s="4"/>
      <c r="K26" s="6"/>
      <c r="M26" s="8" t="s">
        <v>61</v>
      </c>
      <c r="N26" s="8"/>
    </row>
    <row r="27">
      <c r="A27" s="4" t="str">
        <f ca="1">ModifyCode(M27)</f>
        <v>#NAME?</v>
      </c>
      <c r="B27" s="4" t="s">
        <v>62</v>
      </c>
      <c r="C27" s="5" t="s">
        <v>18</v>
      </c>
      <c r="D27" s="5" t="s">
        <v>13</v>
      </c>
      <c r="E27" s="5" t="s">
        <v>19</v>
      </c>
      <c r="F27" s="6">
        <v>1901</v>
      </c>
      <c r="G27" s="6">
        <v>362</v>
      </c>
      <c r="H27" s="6">
        <v>18</v>
      </c>
      <c r="I27" s="7" t="s">
        <v>12</v>
      </c>
      <c r="J27" s="4"/>
      <c r="K27" s="6">
        <v>9.8309999999999995</v>
      </c>
      <c r="M27" s="8" t="s">
        <v>63</v>
      </c>
      <c r="N27" s="8"/>
    </row>
    <row r="28">
      <c r="A28" s="4" t="str">
        <f ca="1">ModifyCode(M28)</f>
        <v>#NAME?</v>
      </c>
      <c r="B28" s="4" t="s">
        <v>64</v>
      </c>
      <c r="C28" s="5" t="s">
        <v>19</v>
      </c>
      <c r="D28" s="5"/>
      <c r="E28" s="5"/>
      <c r="F28" s="6">
        <v>1900</v>
      </c>
      <c r="G28" s="6">
        <v>362</v>
      </c>
      <c r="H28" s="6">
        <v>18</v>
      </c>
      <c r="I28" s="7" t="s">
        <v>18</v>
      </c>
      <c r="J28" s="4" t="s">
        <v>22</v>
      </c>
      <c r="K28" s="6"/>
      <c r="M28" s="8" t="s">
        <v>65</v>
      </c>
      <c r="N28" s="8"/>
    </row>
    <row r="29">
      <c r="A29" s="4" t="str">
        <f ca="1">ModifyCode(M29)</f>
        <v>#NAME?</v>
      </c>
      <c r="B29" s="4" t="s">
        <v>64</v>
      </c>
      <c r="C29" s="5" t="s">
        <v>26</v>
      </c>
      <c r="D29" s="5"/>
      <c r="E29" s="5"/>
      <c r="F29" s="6">
        <v>372</v>
      </c>
      <c r="G29" s="6">
        <v>22</v>
      </c>
      <c r="H29" s="6">
        <v>0.45000000000000001</v>
      </c>
      <c r="I29" s="7" t="s">
        <v>18</v>
      </c>
      <c r="J29" s="4" t="s">
        <v>27</v>
      </c>
      <c r="K29" s="6"/>
      <c r="M29" s="8" t="s">
        <v>66</v>
      </c>
      <c r="N29" s="8"/>
    </row>
    <row r="30">
      <c r="A30" s="4" t="str">
        <f ca="1">ModifyCode(M30)</f>
        <v>#NAME?</v>
      </c>
      <c r="B30" s="4" t="s">
        <v>64</v>
      </c>
      <c r="C30" s="5" t="s">
        <v>26</v>
      </c>
      <c r="D30" s="5"/>
      <c r="E30" s="5"/>
      <c r="F30" s="6">
        <v>372</v>
      </c>
      <c r="G30" s="6">
        <v>22</v>
      </c>
      <c r="H30" s="6">
        <v>0.45000000000000001</v>
      </c>
      <c r="I30" s="7" t="s">
        <v>18</v>
      </c>
      <c r="J30" s="4" t="s">
        <v>27</v>
      </c>
      <c r="K30" s="6"/>
      <c r="M30" s="8" t="s">
        <v>67</v>
      </c>
      <c r="N30" s="8"/>
    </row>
    <row r="31">
      <c r="A31" s="4" t="str">
        <f ca="1">ModifyCode(M31)</f>
        <v>#NAME?</v>
      </c>
      <c r="B31" s="4" t="s">
        <v>68</v>
      </c>
      <c r="C31" s="5" t="s">
        <v>18</v>
      </c>
      <c r="D31" s="5" t="s">
        <v>13</v>
      </c>
      <c r="E31" s="5" t="s">
        <v>19</v>
      </c>
      <c r="F31" s="6">
        <v>1054</v>
      </c>
      <c r="G31" s="6">
        <v>362</v>
      </c>
      <c r="H31" s="6">
        <v>18</v>
      </c>
      <c r="I31" s="7" t="s">
        <v>12</v>
      </c>
      <c r="J31" s="4"/>
      <c r="K31" s="6">
        <v>5.4299999999999997</v>
      </c>
      <c r="M31" s="8" t="s">
        <v>69</v>
      </c>
      <c r="N31" s="8"/>
    </row>
    <row r="32">
      <c r="A32" s="4" t="str">
        <f ca="1">ModifyCode(M32)</f>
        <v>#NAME?</v>
      </c>
      <c r="B32" s="4" t="s">
        <v>70</v>
      </c>
      <c r="C32" s="5" t="s">
        <v>19</v>
      </c>
      <c r="D32" s="5"/>
      <c r="E32" s="5"/>
      <c r="F32" s="6">
        <v>1054</v>
      </c>
      <c r="G32" s="6">
        <v>362</v>
      </c>
      <c r="H32" s="6">
        <v>18</v>
      </c>
      <c r="I32" s="7" t="s">
        <v>18</v>
      </c>
      <c r="J32" s="4" t="s">
        <v>22</v>
      </c>
      <c r="K32" s="6"/>
      <c r="M32" s="8" t="s">
        <v>71</v>
      </c>
      <c r="N32" s="8"/>
    </row>
    <row r="33">
      <c r="A33" s="4" t="str">
        <f ca="1">ModifyCode(M33)</f>
        <v>#NAME?</v>
      </c>
      <c r="B33" s="4" t="s">
        <v>72</v>
      </c>
      <c r="C33" s="5" t="s">
        <v>18</v>
      </c>
      <c r="D33" s="5" t="s">
        <v>13</v>
      </c>
      <c r="E33" s="5" t="s">
        <v>19</v>
      </c>
      <c r="F33" s="6">
        <v>500</v>
      </c>
      <c r="G33" s="6">
        <v>362</v>
      </c>
      <c r="H33" s="6">
        <v>18</v>
      </c>
      <c r="I33" s="7" t="s">
        <v>12</v>
      </c>
      <c r="J33" s="4"/>
      <c r="K33" s="6">
        <v>5.1749999999999998</v>
      </c>
      <c r="M33" s="8" t="s">
        <v>73</v>
      </c>
      <c r="N33" s="8"/>
    </row>
    <row r="34">
      <c r="A34" s="4" t="str">
        <f ca="1">ModifyCode(M34)</f>
        <v>#NAME?</v>
      </c>
      <c r="B34" s="4" t="s">
        <v>74</v>
      </c>
      <c r="C34" s="5" t="s">
        <v>19</v>
      </c>
      <c r="D34" s="5"/>
      <c r="E34" s="5"/>
      <c r="F34" s="6">
        <v>500</v>
      </c>
      <c r="G34" s="6">
        <v>362</v>
      </c>
      <c r="H34" s="6">
        <v>18</v>
      </c>
      <c r="I34" s="7" t="s">
        <v>18</v>
      </c>
      <c r="J34" s="4" t="s">
        <v>22</v>
      </c>
      <c r="K34" s="6"/>
      <c r="M34" s="8" t="s">
        <v>75</v>
      </c>
      <c r="N34" s="8"/>
    </row>
    <row r="35">
      <c r="A35" s="4" t="str">
        <f ca="1">ModifyCode(M35)</f>
        <v>#NAME?</v>
      </c>
      <c r="B35" s="4" t="s">
        <v>74</v>
      </c>
      <c r="C35" s="5" t="s">
        <v>26</v>
      </c>
      <c r="D35" s="5"/>
      <c r="E35" s="5"/>
      <c r="F35" s="6">
        <v>372</v>
      </c>
      <c r="G35" s="6">
        <v>22</v>
      </c>
      <c r="H35" s="6">
        <v>0.45000000000000001</v>
      </c>
      <c r="I35" s="7" t="s">
        <v>18</v>
      </c>
      <c r="J35" s="4" t="s">
        <v>27</v>
      </c>
      <c r="K35" s="6"/>
      <c r="M35" s="8" t="s">
        <v>76</v>
      </c>
      <c r="N35" s="8"/>
    </row>
    <row r="36">
      <c r="A36" s="4" t="str">
        <f ca="1">ModifyCode(M36)</f>
        <v>#NAME?</v>
      </c>
      <c r="B36" s="4" t="s">
        <v>77</v>
      </c>
      <c r="C36" s="5" t="s">
        <v>18</v>
      </c>
      <c r="D36" s="5" t="s">
        <v>13</v>
      </c>
      <c r="E36" s="5" t="s">
        <v>19</v>
      </c>
      <c r="F36" s="6">
        <v>362</v>
      </c>
      <c r="G36" s="6">
        <v>252</v>
      </c>
      <c r="H36" s="6">
        <v>18</v>
      </c>
      <c r="I36" s="7" t="s">
        <v>12</v>
      </c>
      <c r="J36" s="4"/>
      <c r="K36" s="6">
        <v>1.2769999999999999</v>
      </c>
      <c r="M36" s="8" t="s">
        <v>78</v>
      </c>
      <c r="N36" s="8"/>
    </row>
    <row r="37">
      <c r="A37" s="4" t="str">
        <f ca="1">ModifyCode(M37)</f>
        <v>#NAME?</v>
      </c>
      <c r="B37" s="4" t="s">
        <v>79</v>
      </c>
      <c r="C37" s="5" t="s">
        <v>19</v>
      </c>
      <c r="D37" s="5"/>
      <c r="E37" s="5"/>
      <c r="F37" s="6">
        <v>252</v>
      </c>
      <c r="G37" s="6">
        <v>362</v>
      </c>
      <c r="H37" s="6">
        <v>18</v>
      </c>
      <c r="I37" s="7" t="s">
        <v>18</v>
      </c>
      <c r="J37" s="4" t="s">
        <v>22</v>
      </c>
      <c r="K37" s="6"/>
      <c r="M37" s="8" t="s">
        <v>80</v>
      </c>
      <c r="N37" s="8"/>
    </row>
    <row r="38">
      <c r="A38" s="4" t="str">
        <f ca="1">ModifyCode(M38)</f>
        <v>#NAME?</v>
      </c>
      <c r="B38" s="4" t="s">
        <v>81</v>
      </c>
      <c r="C38" s="5" t="s">
        <v>18</v>
      </c>
      <c r="D38" s="5" t="s">
        <v>13</v>
      </c>
      <c r="E38" s="5" t="s">
        <v>19</v>
      </c>
      <c r="F38" s="6">
        <v>1404</v>
      </c>
      <c r="G38" s="6">
        <v>500</v>
      </c>
      <c r="H38" s="6">
        <v>25</v>
      </c>
      <c r="I38" s="7" t="s">
        <v>12</v>
      </c>
      <c r="J38" s="4"/>
      <c r="K38" s="6">
        <v>13.823</v>
      </c>
      <c r="M38" s="8" t="s">
        <v>82</v>
      </c>
      <c r="N38" s="8"/>
    </row>
    <row r="39">
      <c r="A39" s="4" t="str">
        <f ca="1">ModifyCode(M39)</f>
        <v>#NAME?</v>
      </c>
      <c r="B39" s="4" t="s">
        <v>83</v>
      </c>
      <c r="C39" s="5" t="s">
        <v>19</v>
      </c>
      <c r="D39" s="5"/>
      <c r="E39" s="5"/>
      <c r="F39" s="6">
        <v>1400</v>
      </c>
      <c r="G39" s="6">
        <v>498</v>
      </c>
      <c r="H39" s="6">
        <v>25</v>
      </c>
      <c r="I39" s="7" t="s">
        <v>18</v>
      </c>
      <c r="J39" s="4" t="s">
        <v>22</v>
      </c>
      <c r="K39" s="6"/>
      <c r="M39" s="8" t="s">
        <v>84</v>
      </c>
      <c r="N39" s="8"/>
    </row>
    <row r="40">
      <c r="A40" s="4" t="str">
        <f ca="1">ModifyCode(M40)</f>
        <v>#NAME?</v>
      </c>
      <c r="B40" s="4" t="s">
        <v>24</v>
      </c>
      <c r="C40" s="5" t="s">
        <v>25</v>
      </c>
      <c r="D40" s="5"/>
      <c r="E40" s="5"/>
      <c r="F40" s="6"/>
      <c r="G40" s="6"/>
      <c r="H40" s="6">
        <v>25</v>
      </c>
      <c r="I40" s="7" t="s">
        <v>19</v>
      </c>
      <c r="J40" s="4"/>
      <c r="K40" s="6"/>
      <c r="M40" s="8" t="s">
        <v>22</v>
      </c>
      <c r="N40" s="8"/>
    </row>
    <row r="41">
      <c r="A41" s="4" t="str">
        <f ca="1">ModifyCode(M41)</f>
        <v>#NAME?</v>
      </c>
      <c r="B41" s="4" t="s">
        <v>83</v>
      </c>
      <c r="C41" s="5" t="s">
        <v>26</v>
      </c>
      <c r="D41" s="5"/>
      <c r="E41" s="5"/>
      <c r="F41" s="6">
        <v>504</v>
      </c>
      <c r="G41" s="6">
        <v>28</v>
      </c>
      <c r="H41" s="6">
        <v>2</v>
      </c>
      <c r="I41" s="7" t="s">
        <v>18</v>
      </c>
      <c r="J41" s="4" t="s">
        <v>27</v>
      </c>
      <c r="K41" s="6"/>
      <c r="M41" s="8" t="s">
        <v>85</v>
      </c>
      <c r="N41" s="8"/>
    </row>
    <row r="42">
      <c r="A42" s="4" t="str">
        <f ca="1">ModifyCode(M42)</f>
        <v>#NAME?</v>
      </c>
      <c r="B42" s="4" t="s">
        <v>29</v>
      </c>
      <c r="C42" s="5" t="s">
        <v>30</v>
      </c>
      <c r="D42" s="5"/>
      <c r="E42" s="5"/>
      <c r="F42" s="6"/>
      <c r="G42" s="6">
        <v>28</v>
      </c>
      <c r="H42" s="6">
        <v>2</v>
      </c>
      <c r="I42" s="7" t="s">
        <v>26</v>
      </c>
      <c r="J42" s="4"/>
      <c r="K42" s="6"/>
      <c r="M42" s="8" t="s">
        <v>27</v>
      </c>
      <c r="N42" s="8"/>
    </row>
    <row r="43">
      <c r="A43" s="4" t="str">
        <f ca="1">ModifyCode(M43)</f>
        <v>#NAME?</v>
      </c>
      <c r="B43" s="4" t="s">
        <v>83</v>
      </c>
      <c r="C43" s="5" t="s">
        <v>26</v>
      </c>
      <c r="D43" s="5"/>
      <c r="E43" s="5"/>
      <c r="F43" s="6">
        <v>1410</v>
      </c>
      <c r="G43" s="6">
        <v>28</v>
      </c>
      <c r="H43" s="6">
        <v>2</v>
      </c>
      <c r="I43" s="7" t="s">
        <v>18</v>
      </c>
      <c r="J43" s="4" t="s">
        <v>27</v>
      </c>
      <c r="K43" s="6"/>
      <c r="M43" s="8" t="s">
        <v>86</v>
      </c>
      <c r="N43" s="8"/>
    </row>
    <row r="44">
      <c r="A44" s="4" t="str">
        <f ca="1">ModifyCode(M44)</f>
        <v>#NAME?</v>
      </c>
      <c r="B44" s="4" t="s">
        <v>83</v>
      </c>
      <c r="C44" s="5" t="s">
        <v>26</v>
      </c>
      <c r="D44" s="5"/>
      <c r="E44" s="5"/>
      <c r="F44" s="6">
        <v>508</v>
      </c>
      <c r="G44" s="6">
        <v>28</v>
      </c>
      <c r="H44" s="6">
        <v>2</v>
      </c>
      <c r="I44" s="7" t="s">
        <v>18</v>
      </c>
      <c r="J44" s="4" t="s">
        <v>27</v>
      </c>
      <c r="K44" s="6"/>
      <c r="M44" s="8" t="s">
        <v>87</v>
      </c>
      <c r="N44" s="8"/>
    </row>
    <row r="45">
      <c r="A45" s="4" t="str">
        <f ca="1">ModifyCode(M45)</f>
        <v>#NAME?</v>
      </c>
      <c r="B45" s="4" t="s">
        <v>88</v>
      </c>
      <c r="C45" s="5" t="s">
        <v>18</v>
      </c>
      <c r="D45" s="5" t="s">
        <v>13</v>
      </c>
      <c r="E45" s="5" t="s">
        <v>19</v>
      </c>
      <c r="F45" s="6">
        <v>777</v>
      </c>
      <c r="G45" s="6">
        <v>476</v>
      </c>
      <c r="H45" s="6">
        <v>18</v>
      </c>
      <c r="I45" s="7" t="s">
        <v>12</v>
      </c>
      <c r="J45" s="4"/>
      <c r="K45" s="6">
        <v>5.3029999999999999</v>
      </c>
      <c r="M45" s="8" t="s">
        <v>89</v>
      </c>
      <c r="N45" s="8"/>
    </row>
    <row r="46">
      <c r="A46" s="4" t="str">
        <f ca="1">ModifyCode(M46)</f>
        <v>#NAME?</v>
      </c>
      <c r="B46" s="4" t="s">
        <v>90</v>
      </c>
      <c r="C46" s="5" t="s">
        <v>19</v>
      </c>
      <c r="D46" s="5"/>
      <c r="E46" s="5"/>
      <c r="F46" s="6">
        <v>777</v>
      </c>
      <c r="G46" s="6">
        <v>476</v>
      </c>
      <c r="H46" s="6">
        <v>18</v>
      </c>
      <c r="I46" s="7" t="s">
        <v>18</v>
      </c>
      <c r="J46" s="4" t="s">
        <v>22</v>
      </c>
      <c r="K46" s="6"/>
      <c r="M46" s="8" t="s">
        <v>91</v>
      </c>
      <c r="N46" s="8"/>
    </row>
    <row r="47">
      <c r="A47" s="4" t="str">
        <f ca="1">ModifyCode(M47)</f>
        <v>#NAME?</v>
      </c>
      <c r="B47" s="4" t="s">
        <v>90</v>
      </c>
      <c r="C47" s="5" t="s">
        <v>26</v>
      </c>
      <c r="D47" s="5"/>
      <c r="E47" s="5"/>
      <c r="F47" s="6">
        <v>787</v>
      </c>
      <c r="G47" s="6">
        <v>22</v>
      </c>
      <c r="H47" s="6">
        <v>0.45000000000000001</v>
      </c>
      <c r="I47" s="7" t="s">
        <v>18</v>
      </c>
      <c r="J47" s="4" t="s">
        <v>27</v>
      </c>
      <c r="K47" s="6"/>
      <c r="M47" s="8" t="s">
        <v>92</v>
      </c>
      <c r="N47" s="8"/>
    </row>
    <row r="48">
      <c r="A48" s="4" t="str">
        <f ca="1">ModifyCode(M48)</f>
        <v>#NAME?</v>
      </c>
      <c r="B48" s="4" t="s">
        <v>93</v>
      </c>
      <c r="C48" s="5" t="s">
        <v>18</v>
      </c>
      <c r="D48" s="5" t="s">
        <v>13</v>
      </c>
      <c r="E48" s="5" t="s">
        <v>19</v>
      </c>
      <c r="F48" s="6">
        <v>1401</v>
      </c>
      <c r="G48" s="6">
        <v>480</v>
      </c>
      <c r="H48" s="6">
        <v>18</v>
      </c>
      <c r="I48" s="7" t="s">
        <v>12</v>
      </c>
      <c r="J48" s="4"/>
      <c r="K48" s="6">
        <v>9.6150000000000002</v>
      </c>
      <c r="M48" s="8" t="s">
        <v>94</v>
      </c>
      <c r="N48" s="8"/>
    </row>
    <row r="49">
      <c r="A49" s="4" t="str">
        <f ca="1">ModifyCode(M49)</f>
        <v>#NAME?</v>
      </c>
      <c r="B49" s="4" t="s">
        <v>95</v>
      </c>
      <c r="C49" s="5" t="s">
        <v>19</v>
      </c>
      <c r="D49" s="5"/>
      <c r="E49" s="5"/>
      <c r="F49" s="6">
        <v>1400</v>
      </c>
      <c r="G49" s="6">
        <v>480</v>
      </c>
      <c r="H49" s="6">
        <v>18</v>
      </c>
      <c r="I49" s="7" t="s">
        <v>18</v>
      </c>
      <c r="J49" s="4" t="s">
        <v>22</v>
      </c>
      <c r="K49" s="6"/>
      <c r="M49" s="8" t="s">
        <v>96</v>
      </c>
      <c r="N49" s="8"/>
    </row>
    <row r="50">
      <c r="A50" s="4" t="str">
        <f ca="1">ModifyCode(M50)</f>
        <v>#NAME?</v>
      </c>
      <c r="B50" s="4" t="s">
        <v>95</v>
      </c>
      <c r="C50" s="5" t="s">
        <v>26</v>
      </c>
      <c r="D50" s="5"/>
      <c r="E50" s="5"/>
      <c r="F50" s="6">
        <v>490</v>
      </c>
      <c r="G50" s="6">
        <v>22</v>
      </c>
      <c r="H50" s="6">
        <v>0.45000000000000001</v>
      </c>
      <c r="I50" s="7" t="s">
        <v>18</v>
      </c>
      <c r="J50" s="4" t="s">
        <v>27</v>
      </c>
      <c r="K50" s="6"/>
      <c r="M50" s="8" t="s">
        <v>97</v>
      </c>
      <c r="N50" s="8"/>
    </row>
    <row r="51">
      <c r="A51" s="4" t="str">
        <f ca="1">ModifyCode(M51)</f>
        <v>#NAME?</v>
      </c>
      <c r="B51" s="4" t="s">
        <v>95</v>
      </c>
      <c r="C51" s="5" t="s">
        <v>26</v>
      </c>
      <c r="D51" s="5"/>
      <c r="E51" s="5"/>
      <c r="F51" s="6">
        <v>490</v>
      </c>
      <c r="G51" s="6">
        <v>22</v>
      </c>
      <c r="H51" s="6">
        <v>0.45000000000000001</v>
      </c>
      <c r="I51" s="7" t="s">
        <v>18</v>
      </c>
      <c r="J51" s="4" t="s">
        <v>27</v>
      </c>
      <c r="K51" s="6"/>
      <c r="M51" s="8" t="s">
        <v>98</v>
      </c>
      <c r="N51" s="8"/>
    </row>
    <row r="52">
      <c r="A52" s="4" t="str">
        <f ca="1">ModifyCode(M52)</f>
        <v>#NAME?</v>
      </c>
      <c r="B52" s="4" t="s">
        <v>99</v>
      </c>
      <c r="C52" s="5" t="s">
        <v>18</v>
      </c>
      <c r="D52" s="5" t="s">
        <v>13</v>
      </c>
      <c r="E52" s="5" t="s">
        <v>19</v>
      </c>
      <c r="F52" s="6">
        <v>777</v>
      </c>
      <c r="G52" s="6">
        <v>480</v>
      </c>
      <c r="H52" s="6">
        <v>18</v>
      </c>
      <c r="I52" s="7" t="s">
        <v>12</v>
      </c>
      <c r="J52" s="4"/>
      <c r="K52" s="6">
        <v>5.3170000000000002</v>
      </c>
      <c r="M52" s="8" t="s">
        <v>100</v>
      </c>
      <c r="N52" s="8"/>
    </row>
    <row r="53">
      <c r="A53" s="4" t="str">
        <f ca="1">ModifyCode(M53)</f>
        <v>#NAME?</v>
      </c>
      <c r="B53" s="4" t="s">
        <v>101</v>
      </c>
      <c r="C53" s="5" t="s">
        <v>19</v>
      </c>
      <c r="D53" s="5"/>
      <c r="E53" s="5"/>
      <c r="F53" s="6">
        <v>777</v>
      </c>
      <c r="G53" s="6">
        <v>480</v>
      </c>
      <c r="H53" s="6">
        <v>18</v>
      </c>
      <c r="I53" s="7" t="s">
        <v>18</v>
      </c>
      <c r="J53" s="4" t="s">
        <v>22</v>
      </c>
      <c r="K53" s="6"/>
      <c r="M53" s="8" t="s">
        <v>102</v>
      </c>
      <c r="N53" s="8"/>
    </row>
    <row r="54">
      <c r="A54" s="4" t="str">
        <f ca="1">ModifyCode(M54)</f>
        <v>#NAME?</v>
      </c>
      <c r="B54" s="4" t="s">
        <v>103</v>
      </c>
      <c r="C54" s="5" t="s">
        <v>18</v>
      </c>
      <c r="D54" s="5" t="s">
        <v>13</v>
      </c>
      <c r="E54" s="5" t="s">
        <v>19</v>
      </c>
      <c r="F54" s="6">
        <v>777</v>
      </c>
      <c r="G54" s="6">
        <v>476</v>
      </c>
      <c r="H54" s="6">
        <v>18</v>
      </c>
      <c r="I54" s="7" t="s">
        <v>12</v>
      </c>
      <c r="J54" s="4"/>
      <c r="K54" s="6">
        <v>5.306</v>
      </c>
      <c r="M54" s="8" t="s">
        <v>104</v>
      </c>
      <c r="N54" s="8"/>
    </row>
    <row r="55">
      <c r="A55" s="4" t="str">
        <f ca="1">ModifyCode(M55)</f>
        <v>#NAME?</v>
      </c>
      <c r="B55" s="4" t="s">
        <v>105</v>
      </c>
      <c r="C55" s="5" t="s">
        <v>19</v>
      </c>
      <c r="D55" s="5"/>
      <c r="E55" s="5"/>
      <c r="F55" s="6">
        <v>777</v>
      </c>
      <c r="G55" s="6">
        <v>476</v>
      </c>
      <c r="H55" s="6">
        <v>18</v>
      </c>
      <c r="I55" s="7" t="s">
        <v>18</v>
      </c>
      <c r="J55" s="4" t="s">
        <v>22</v>
      </c>
      <c r="K55" s="6"/>
      <c r="M55" s="8" t="s">
        <v>106</v>
      </c>
      <c r="N55" s="8"/>
    </row>
    <row r="56">
      <c r="A56" s="4" t="str">
        <f ca="1">ModifyCode(M56)</f>
        <v>#NAME?</v>
      </c>
      <c r="B56" s="4" t="s">
        <v>105</v>
      </c>
      <c r="C56" s="5" t="s">
        <v>26</v>
      </c>
      <c r="D56" s="5"/>
      <c r="E56" s="5"/>
      <c r="F56" s="6">
        <v>787</v>
      </c>
      <c r="G56" s="6">
        <v>22</v>
      </c>
      <c r="H56" s="6">
        <v>0.45000000000000001</v>
      </c>
      <c r="I56" s="7" t="s">
        <v>18</v>
      </c>
      <c r="J56" s="4" t="s">
        <v>27</v>
      </c>
      <c r="K56" s="6"/>
      <c r="M56" s="8" t="s">
        <v>107</v>
      </c>
      <c r="N56" s="8"/>
    </row>
    <row r="57">
      <c r="A57" s="4" t="str">
        <f ca="1">ModifyCode(M57)</f>
        <v>#NAME?</v>
      </c>
      <c r="B57" s="4" t="s">
        <v>108</v>
      </c>
      <c r="C57" s="5" t="s">
        <v>18</v>
      </c>
      <c r="D57" s="5" t="s">
        <v>13</v>
      </c>
      <c r="E57" s="5" t="s">
        <v>19</v>
      </c>
      <c r="F57" s="6">
        <v>1901</v>
      </c>
      <c r="G57" s="6">
        <v>71</v>
      </c>
      <c r="H57" s="6">
        <v>18</v>
      </c>
      <c r="I57" s="7" t="s">
        <v>12</v>
      </c>
      <c r="J57" s="4"/>
      <c r="K57" s="6">
        <v>1.9099999999999999</v>
      </c>
      <c r="M57" s="8" t="s">
        <v>109</v>
      </c>
      <c r="N57" s="8"/>
    </row>
    <row r="58">
      <c r="A58" s="4" t="str">
        <f ca="1">ModifyCode(M58)</f>
        <v>#NAME?</v>
      </c>
      <c r="B58" s="4" t="s">
        <v>110</v>
      </c>
      <c r="C58" s="5" t="s">
        <v>19</v>
      </c>
      <c r="D58" s="5"/>
      <c r="E58" s="5"/>
      <c r="F58" s="6">
        <v>1900</v>
      </c>
      <c r="G58" s="6">
        <v>70</v>
      </c>
      <c r="H58" s="6">
        <v>18</v>
      </c>
      <c r="I58" s="7" t="s">
        <v>18</v>
      </c>
      <c r="J58" s="4" t="s">
        <v>22</v>
      </c>
      <c r="K58" s="6"/>
      <c r="M58" s="8" t="s">
        <v>111</v>
      </c>
      <c r="N58" s="8"/>
    </row>
    <row r="59">
      <c r="A59" s="4" t="str">
        <f ca="1">ModifyCode(M59)</f>
        <v>#NAME?</v>
      </c>
      <c r="B59" s="4" t="s">
        <v>110</v>
      </c>
      <c r="C59" s="5" t="s">
        <v>26</v>
      </c>
      <c r="D59" s="5"/>
      <c r="E59" s="5"/>
      <c r="F59" s="6">
        <v>1910</v>
      </c>
      <c r="G59" s="6">
        <v>22</v>
      </c>
      <c r="H59" s="6">
        <v>0.45000000000000001</v>
      </c>
      <c r="I59" s="7" t="s">
        <v>18</v>
      </c>
      <c r="J59" s="4" t="s">
        <v>27</v>
      </c>
      <c r="K59" s="6"/>
      <c r="M59" s="8" t="s">
        <v>112</v>
      </c>
      <c r="N59" s="8"/>
    </row>
    <row r="60">
      <c r="A60" s="4" t="str">
        <f ca="1">ModifyCode(M60)</f>
        <v>#NAME?</v>
      </c>
      <c r="B60" s="4" t="s">
        <v>110</v>
      </c>
      <c r="C60" s="5" t="s">
        <v>26</v>
      </c>
      <c r="D60" s="5"/>
      <c r="E60" s="5"/>
      <c r="F60" s="6">
        <v>80</v>
      </c>
      <c r="G60" s="6">
        <v>22</v>
      </c>
      <c r="H60" s="6">
        <v>0.45000000000000001</v>
      </c>
      <c r="I60" s="7" t="s">
        <v>18</v>
      </c>
      <c r="J60" s="4" t="s">
        <v>27</v>
      </c>
      <c r="K60" s="6"/>
      <c r="M60" s="8" t="s">
        <v>113</v>
      </c>
      <c r="N60" s="8"/>
    </row>
    <row r="61">
      <c r="A61" s="4" t="str">
        <f ca="1">ModifyCode(M61)</f>
        <v>#NAME?</v>
      </c>
      <c r="B61" s="4" t="s">
        <v>110</v>
      </c>
      <c r="C61" s="5" t="s">
        <v>26</v>
      </c>
      <c r="D61" s="5"/>
      <c r="E61" s="5"/>
      <c r="F61" s="6">
        <v>1910</v>
      </c>
      <c r="G61" s="6">
        <v>22</v>
      </c>
      <c r="H61" s="6">
        <v>0.45000000000000001</v>
      </c>
      <c r="I61" s="7" t="s">
        <v>18</v>
      </c>
      <c r="J61" s="4" t="s">
        <v>27</v>
      </c>
      <c r="K61" s="6"/>
      <c r="M61" s="8" t="s">
        <v>114</v>
      </c>
      <c r="N61" s="8"/>
    </row>
    <row r="62">
      <c r="A62" s="4" t="str">
        <f ca="1">ModifyCode(M62)</f>
        <v>#NAME?</v>
      </c>
      <c r="B62" s="4" t="s">
        <v>110</v>
      </c>
      <c r="C62" s="5" t="s">
        <v>26</v>
      </c>
      <c r="D62" s="5"/>
      <c r="E62" s="5"/>
      <c r="F62" s="6">
        <v>80</v>
      </c>
      <c r="G62" s="6">
        <v>22</v>
      </c>
      <c r="H62" s="6">
        <v>0.45000000000000001</v>
      </c>
      <c r="I62" s="7" t="s">
        <v>18</v>
      </c>
      <c r="J62" s="4" t="s">
        <v>27</v>
      </c>
      <c r="K62" s="6"/>
      <c r="M62" s="8" t="s">
        <v>115</v>
      </c>
      <c r="N62" s="8"/>
    </row>
    <row r="63">
      <c r="A63" s="4" t="str">
        <f ca="1">ModifyCode(M63)</f>
        <v>#NAME?</v>
      </c>
      <c r="B63" s="4" t="s">
        <v>116</v>
      </c>
      <c r="C63" s="5" t="s">
        <v>18</v>
      </c>
      <c r="D63" s="5" t="s">
        <v>13</v>
      </c>
      <c r="E63" s="5" t="s">
        <v>19</v>
      </c>
      <c r="F63" s="6">
        <v>950</v>
      </c>
      <c r="G63" s="6">
        <v>71</v>
      </c>
      <c r="H63" s="6">
        <v>18</v>
      </c>
      <c r="I63" s="7" t="s">
        <v>12</v>
      </c>
      <c r="J63" s="4"/>
      <c r="K63" s="6">
        <v>0.94999999999999996</v>
      </c>
      <c r="M63" s="8" t="s">
        <v>117</v>
      </c>
      <c r="N63" s="8"/>
    </row>
    <row r="64">
      <c r="A64" s="4" t="str">
        <f ca="1">ModifyCode(M64)</f>
        <v>#NAME?</v>
      </c>
      <c r="B64" s="4" t="s">
        <v>118</v>
      </c>
      <c r="C64" s="5" t="s">
        <v>19</v>
      </c>
      <c r="D64" s="5"/>
      <c r="E64" s="5"/>
      <c r="F64" s="6">
        <v>950</v>
      </c>
      <c r="G64" s="6">
        <v>70</v>
      </c>
      <c r="H64" s="6">
        <v>18</v>
      </c>
      <c r="I64" s="7" t="s">
        <v>18</v>
      </c>
      <c r="J64" s="4" t="s">
        <v>22</v>
      </c>
      <c r="K64" s="6"/>
      <c r="M64" s="8" t="s">
        <v>119</v>
      </c>
      <c r="N64" s="8"/>
    </row>
    <row r="65">
      <c r="A65" s="4" t="str">
        <f ca="1">ModifyCode(M65)</f>
        <v>#NAME?</v>
      </c>
      <c r="B65" s="4" t="s">
        <v>118</v>
      </c>
      <c r="C65" s="5" t="s">
        <v>26</v>
      </c>
      <c r="D65" s="5"/>
      <c r="E65" s="5"/>
      <c r="F65" s="6">
        <v>960</v>
      </c>
      <c r="G65" s="6">
        <v>22</v>
      </c>
      <c r="H65" s="6">
        <v>0.45000000000000001</v>
      </c>
      <c r="I65" s="7" t="s">
        <v>18</v>
      </c>
      <c r="J65" s="4" t="s">
        <v>27</v>
      </c>
      <c r="K65" s="6"/>
      <c r="M65" s="8" t="s">
        <v>120</v>
      </c>
      <c r="N65" s="8"/>
    </row>
    <row r="66">
      <c r="A66" s="4" t="str">
        <f ca="1">ModifyCode(M66)</f>
        <v>#NAME?</v>
      </c>
      <c r="B66" s="4" t="s">
        <v>118</v>
      </c>
      <c r="C66" s="5" t="s">
        <v>26</v>
      </c>
      <c r="D66" s="5"/>
      <c r="E66" s="5"/>
      <c r="F66" s="6">
        <v>960</v>
      </c>
      <c r="G66" s="6">
        <v>22</v>
      </c>
      <c r="H66" s="6">
        <v>0.45000000000000001</v>
      </c>
      <c r="I66" s="7" t="s">
        <v>18</v>
      </c>
      <c r="J66" s="4" t="s">
        <v>27</v>
      </c>
      <c r="K66" s="6"/>
      <c r="M66" s="8" t="s">
        <v>121</v>
      </c>
      <c r="N66" s="8"/>
    </row>
    <row r="67">
      <c r="A67" s="4" t="str">
        <f ca="1">ModifyCode(M67)</f>
        <v>#NAME?</v>
      </c>
      <c r="B67" s="4" t="s">
        <v>122</v>
      </c>
      <c r="C67" s="5" t="s">
        <v>18</v>
      </c>
      <c r="D67" s="5" t="s">
        <v>13</v>
      </c>
      <c r="E67" s="5" t="s">
        <v>19</v>
      </c>
      <c r="F67" s="6">
        <v>500</v>
      </c>
      <c r="G67" s="6">
        <v>71</v>
      </c>
      <c r="H67" s="6">
        <v>18</v>
      </c>
      <c r="I67" s="7" t="s">
        <v>12</v>
      </c>
      <c r="J67" s="4"/>
      <c r="K67" s="6">
        <v>0.502</v>
      </c>
      <c r="M67" s="8" t="s">
        <v>123</v>
      </c>
      <c r="N67" s="8"/>
    </row>
    <row r="68">
      <c r="A68" s="4" t="str">
        <f ca="1">ModifyCode(M68)</f>
        <v>#NAME?</v>
      </c>
      <c r="B68" s="4" t="s">
        <v>124</v>
      </c>
      <c r="C68" s="5" t="s">
        <v>19</v>
      </c>
      <c r="D68" s="5"/>
      <c r="E68" s="5"/>
      <c r="F68" s="6">
        <v>500</v>
      </c>
      <c r="G68" s="6">
        <v>70</v>
      </c>
      <c r="H68" s="6">
        <v>18</v>
      </c>
      <c r="I68" s="7" t="s">
        <v>18</v>
      </c>
      <c r="J68" s="4" t="s">
        <v>22</v>
      </c>
      <c r="K68" s="6"/>
      <c r="M68" s="8" t="s">
        <v>125</v>
      </c>
      <c r="N68" s="8"/>
    </row>
    <row r="69">
      <c r="A69" s="4" t="str">
        <f ca="1">ModifyCode(M69)</f>
        <v>#NAME?</v>
      </c>
      <c r="B69" s="4" t="s">
        <v>124</v>
      </c>
      <c r="C69" s="5" t="s">
        <v>26</v>
      </c>
      <c r="D69" s="5"/>
      <c r="E69" s="5"/>
      <c r="F69" s="6">
        <v>510</v>
      </c>
      <c r="G69" s="6">
        <v>22</v>
      </c>
      <c r="H69" s="6">
        <v>0.45000000000000001</v>
      </c>
      <c r="I69" s="7" t="s">
        <v>18</v>
      </c>
      <c r="J69" s="4" t="s">
        <v>27</v>
      </c>
      <c r="K69" s="6"/>
      <c r="M69" s="8" t="s">
        <v>126</v>
      </c>
      <c r="N69" s="8"/>
    </row>
    <row r="70">
      <c r="A70" s="4" t="str">
        <f ca="1">ModifyCode(M70)</f>
        <v>#NAME?</v>
      </c>
      <c r="B70" s="4" t="s">
        <v>124</v>
      </c>
      <c r="C70" s="5" t="s">
        <v>26</v>
      </c>
      <c r="D70" s="5"/>
      <c r="E70" s="5"/>
      <c r="F70" s="6">
        <v>80</v>
      </c>
      <c r="G70" s="6">
        <v>22</v>
      </c>
      <c r="H70" s="6">
        <v>0.45000000000000001</v>
      </c>
      <c r="I70" s="7" t="s">
        <v>18</v>
      </c>
      <c r="J70" s="4" t="s">
        <v>27</v>
      </c>
      <c r="K70" s="6"/>
      <c r="M70" s="8" t="s">
        <v>127</v>
      </c>
      <c r="N70" s="8"/>
    </row>
    <row r="71">
      <c r="A71" s="4" t="str">
        <f ca="1">ModifyCode(M71)</f>
        <v>#NAME?</v>
      </c>
      <c r="B71" s="4" t="s">
        <v>124</v>
      </c>
      <c r="C71" s="5" t="s">
        <v>26</v>
      </c>
      <c r="D71" s="5"/>
      <c r="E71" s="5"/>
      <c r="F71" s="6">
        <v>510</v>
      </c>
      <c r="G71" s="6">
        <v>22</v>
      </c>
      <c r="H71" s="6">
        <v>0.45000000000000001</v>
      </c>
      <c r="I71" s="7" t="s">
        <v>18</v>
      </c>
      <c r="J71" s="4" t="s">
        <v>27</v>
      </c>
      <c r="K71" s="6"/>
      <c r="M71" s="8" t="s">
        <v>128</v>
      </c>
      <c r="N71" s="8"/>
    </row>
    <row r="72">
      <c r="A72" s="4" t="str">
        <f ca="1">ModifyCode(M72)</f>
        <v>#NAME?</v>
      </c>
      <c r="B72" s="4" t="s">
        <v>129</v>
      </c>
      <c r="C72" s="5" t="s">
        <v>18</v>
      </c>
      <c r="D72" s="5" t="s">
        <v>13</v>
      </c>
      <c r="E72" s="5" t="s">
        <v>19</v>
      </c>
      <c r="F72" s="6">
        <v>200</v>
      </c>
      <c r="G72" s="6">
        <v>71</v>
      </c>
      <c r="H72" s="6">
        <v>18</v>
      </c>
      <c r="I72" s="7" t="s">
        <v>12</v>
      </c>
      <c r="J72" s="4"/>
      <c r="K72" s="6">
        <v>0.19700000000000001</v>
      </c>
      <c r="M72" s="8" t="s">
        <v>130</v>
      </c>
      <c r="N72" s="8"/>
    </row>
    <row r="73">
      <c r="A73" s="4" t="str">
        <f ca="1">ModifyCode(M73)</f>
        <v>#NAME?</v>
      </c>
      <c r="B73" s="4" t="s">
        <v>131</v>
      </c>
      <c r="C73" s="5" t="s">
        <v>19</v>
      </c>
      <c r="D73" s="5"/>
      <c r="E73" s="5"/>
      <c r="F73" s="6">
        <v>200</v>
      </c>
      <c r="G73" s="6">
        <v>70</v>
      </c>
      <c r="H73" s="6">
        <v>18</v>
      </c>
      <c r="I73" s="7" t="s">
        <v>18</v>
      </c>
      <c r="J73" s="4" t="s">
        <v>22</v>
      </c>
      <c r="K73" s="6"/>
      <c r="M73" s="8" t="s">
        <v>132</v>
      </c>
      <c r="N73" s="8"/>
    </row>
    <row r="74">
      <c r="A74" s="4" t="str">
        <f ca="1">ModifyCode(M74)</f>
        <v>#NAME?</v>
      </c>
      <c r="B74" s="4" t="s">
        <v>131</v>
      </c>
      <c r="C74" s="5" t="s">
        <v>26</v>
      </c>
      <c r="D74" s="5"/>
      <c r="E74" s="5"/>
      <c r="F74" s="6">
        <v>210</v>
      </c>
      <c r="G74" s="6">
        <v>22</v>
      </c>
      <c r="H74" s="6">
        <v>0.45000000000000001</v>
      </c>
      <c r="I74" s="7" t="s">
        <v>18</v>
      </c>
      <c r="J74" s="4" t="s">
        <v>27</v>
      </c>
      <c r="K74" s="6"/>
      <c r="M74" s="8" t="s">
        <v>133</v>
      </c>
      <c r="N74" s="8"/>
    </row>
    <row r="75">
      <c r="A75" s="4" t="str">
        <f ca="1">ModifyCode(M75)</f>
        <v>#NAME?</v>
      </c>
      <c r="B75" s="4" t="s">
        <v>131</v>
      </c>
      <c r="C75" s="5" t="s">
        <v>26</v>
      </c>
      <c r="D75" s="5"/>
      <c r="E75" s="5"/>
      <c r="F75" s="6">
        <v>210</v>
      </c>
      <c r="G75" s="6">
        <v>22</v>
      </c>
      <c r="H75" s="6">
        <v>0.45000000000000001</v>
      </c>
      <c r="I75" s="7" t="s">
        <v>18</v>
      </c>
      <c r="J75" s="4" t="s">
        <v>27</v>
      </c>
      <c r="K75" s="6"/>
      <c r="M75" s="8" t="s">
        <v>134</v>
      </c>
      <c r="N75" s="8"/>
    </row>
    <row r="76">
      <c r="A76" s="4" t="str">
        <f ca="1">ModifyCode(M76)</f>
        <v>#NAME?</v>
      </c>
      <c r="B76" s="4" t="s">
        <v>135</v>
      </c>
      <c r="C76" s="5" t="s">
        <v>18</v>
      </c>
      <c r="D76" s="5" t="s">
        <v>13</v>
      </c>
      <c r="E76" s="5" t="s">
        <v>19</v>
      </c>
      <c r="F76" s="6">
        <v>1401</v>
      </c>
      <c r="G76" s="6">
        <v>71</v>
      </c>
      <c r="H76" s="6">
        <v>18</v>
      </c>
      <c r="I76" s="7" t="s">
        <v>12</v>
      </c>
      <c r="J76" s="4"/>
      <c r="K76" s="6">
        <v>1.4079999999999999</v>
      </c>
      <c r="M76" s="8" t="s">
        <v>136</v>
      </c>
      <c r="N76" s="8"/>
    </row>
    <row r="77">
      <c r="A77" s="4" t="str">
        <f ca="1">ModifyCode(M77)</f>
        <v>#NAME?</v>
      </c>
      <c r="B77" s="4" t="s">
        <v>137</v>
      </c>
      <c r="C77" s="5" t="s">
        <v>19</v>
      </c>
      <c r="D77" s="5"/>
      <c r="E77" s="5"/>
      <c r="F77" s="6">
        <v>1400</v>
      </c>
      <c r="G77" s="6">
        <v>70</v>
      </c>
      <c r="H77" s="6">
        <v>18</v>
      </c>
      <c r="I77" s="7" t="s">
        <v>18</v>
      </c>
      <c r="J77" s="4" t="s">
        <v>22</v>
      </c>
      <c r="K77" s="6"/>
      <c r="M77" s="8" t="s">
        <v>138</v>
      </c>
      <c r="N77" s="8"/>
    </row>
    <row r="78">
      <c r="A78" s="4" t="str">
        <f ca="1">ModifyCode(M78)</f>
        <v>#NAME?</v>
      </c>
      <c r="B78" s="4" t="s">
        <v>137</v>
      </c>
      <c r="C78" s="5" t="s">
        <v>26</v>
      </c>
      <c r="D78" s="5"/>
      <c r="E78" s="5"/>
      <c r="F78" s="6">
        <v>1410</v>
      </c>
      <c r="G78" s="6">
        <v>22</v>
      </c>
      <c r="H78" s="6">
        <v>0.45000000000000001</v>
      </c>
      <c r="I78" s="7" t="s">
        <v>18</v>
      </c>
      <c r="J78" s="4" t="s">
        <v>27</v>
      </c>
      <c r="K78" s="6"/>
      <c r="M78" s="8" t="s">
        <v>139</v>
      </c>
      <c r="N78" s="8"/>
    </row>
    <row r="79">
      <c r="A79" s="4" t="str">
        <f ca="1">ModifyCode(M79)</f>
        <v>#NAME?</v>
      </c>
      <c r="B79" s="4" t="s">
        <v>137</v>
      </c>
      <c r="C79" s="5" t="s">
        <v>26</v>
      </c>
      <c r="D79" s="5"/>
      <c r="E79" s="5"/>
      <c r="F79" s="6">
        <v>80</v>
      </c>
      <c r="G79" s="6">
        <v>22</v>
      </c>
      <c r="H79" s="6">
        <v>0.45000000000000001</v>
      </c>
      <c r="I79" s="7" t="s">
        <v>18</v>
      </c>
      <c r="J79" s="4" t="s">
        <v>27</v>
      </c>
      <c r="K79" s="6"/>
      <c r="M79" s="8" t="s">
        <v>140</v>
      </c>
      <c r="N79" s="8"/>
    </row>
    <row r="80">
      <c r="A80" s="4" t="str">
        <f ca="1">ModifyCode(M80)</f>
        <v>#NAME?</v>
      </c>
      <c r="B80" s="4" t="s">
        <v>137</v>
      </c>
      <c r="C80" s="5" t="s">
        <v>26</v>
      </c>
      <c r="D80" s="5"/>
      <c r="E80" s="5"/>
      <c r="F80" s="6">
        <v>1410</v>
      </c>
      <c r="G80" s="6">
        <v>22</v>
      </c>
      <c r="H80" s="6">
        <v>0.45000000000000001</v>
      </c>
      <c r="I80" s="7" t="s">
        <v>18</v>
      </c>
      <c r="J80" s="4" t="s">
        <v>27</v>
      </c>
      <c r="K80" s="6"/>
      <c r="M80" s="8" t="s">
        <v>141</v>
      </c>
      <c r="N80" s="8"/>
    </row>
    <row r="81">
      <c r="A81" s="4" t="str">
        <f ca="1">ModifyCode(M81)</f>
        <v>#NAME?</v>
      </c>
      <c r="B81" s="4" t="s">
        <v>137</v>
      </c>
      <c r="C81" s="5" t="s">
        <v>26</v>
      </c>
      <c r="D81" s="5"/>
      <c r="E81" s="5"/>
      <c r="F81" s="6">
        <v>80</v>
      </c>
      <c r="G81" s="6">
        <v>22</v>
      </c>
      <c r="H81" s="6">
        <v>0.45000000000000001</v>
      </c>
      <c r="I81" s="7" t="s">
        <v>18</v>
      </c>
      <c r="J81" s="4" t="s">
        <v>27</v>
      </c>
      <c r="K81" s="6"/>
      <c r="M81" s="8" t="s">
        <v>142</v>
      </c>
      <c r="N81" s="8"/>
    </row>
    <row r="82">
      <c r="A82" s="4" t="str">
        <f ca="1">ModifyCode(M82)</f>
        <v>#NAME?</v>
      </c>
      <c r="B82" s="4" t="s">
        <v>143</v>
      </c>
      <c r="C82" s="5" t="s">
        <v>18</v>
      </c>
      <c r="D82" s="5" t="s">
        <v>13</v>
      </c>
      <c r="E82" s="5" t="s">
        <v>19</v>
      </c>
      <c r="F82" s="6">
        <v>725</v>
      </c>
      <c r="G82" s="6">
        <v>71</v>
      </c>
      <c r="H82" s="6">
        <v>18</v>
      </c>
      <c r="I82" s="7" t="s">
        <v>12</v>
      </c>
      <c r="J82" s="4"/>
      <c r="K82" s="6">
        <v>0.72799999999999998</v>
      </c>
      <c r="M82" s="8" t="s">
        <v>144</v>
      </c>
      <c r="N82" s="8"/>
    </row>
    <row r="83">
      <c r="A83" s="4" t="str">
        <f ca="1">ModifyCode(M83)</f>
        <v>#NAME?</v>
      </c>
      <c r="B83" s="4" t="s">
        <v>145</v>
      </c>
      <c r="C83" s="5" t="s">
        <v>19</v>
      </c>
      <c r="D83" s="5"/>
      <c r="E83" s="5"/>
      <c r="F83" s="6">
        <v>725</v>
      </c>
      <c r="G83" s="6">
        <v>70</v>
      </c>
      <c r="H83" s="6">
        <v>18</v>
      </c>
      <c r="I83" s="7" t="s">
        <v>18</v>
      </c>
      <c r="J83" s="4" t="s">
        <v>22</v>
      </c>
      <c r="K83" s="6"/>
      <c r="M83" s="8" t="s">
        <v>146</v>
      </c>
      <c r="N83" s="8"/>
    </row>
    <row r="84">
      <c r="A84" s="4" t="str">
        <f ca="1">ModifyCode(M84)</f>
        <v>#NAME?</v>
      </c>
      <c r="B84" s="4" t="s">
        <v>145</v>
      </c>
      <c r="C84" s="5" t="s">
        <v>26</v>
      </c>
      <c r="D84" s="5"/>
      <c r="E84" s="5"/>
      <c r="F84" s="6">
        <v>735</v>
      </c>
      <c r="G84" s="6">
        <v>22</v>
      </c>
      <c r="H84" s="6">
        <v>0.45000000000000001</v>
      </c>
      <c r="I84" s="7" t="s">
        <v>18</v>
      </c>
      <c r="J84" s="4" t="s">
        <v>27</v>
      </c>
      <c r="K84" s="6"/>
      <c r="M84" s="8" t="s">
        <v>147</v>
      </c>
      <c r="N84" s="8"/>
    </row>
    <row r="85">
      <c r="A85" s="4" t="str">
        <f ca="1">ModifyCode(M85)</f>
        <v>#NAME?</v>
      </c>
      <c r="B85" s="4" t="s">
        <v>145</v>
      </c>
      <c r="C85" s="5" t="s">
        <v>26</v>
      </c>
      <c r="D85" s="5"/>
      <c r="E85" s="5"/>
      <c r="F85" s="6">
        <v>735</v>
      </c>
      <c r="G85" s="6">
        <v>22</v>
      </c>
      <c r="H85" s="6">
        <v>0.45000000000000001</v>
      </c>
      <c r="I85" s="7" t="s">
        <v>18</v>
      </c>
      <c r="J85" s="4" t="s">
        <v>27</v>
      </c>
      <c r="K85" s="6"/>
      <c r="M85" s="8" t="s">
        <v>148</v>
      </c>
      <c r="N85" s="8"/>
    </row>
    <row r="86">
      <c r="A86" s="4" t="str">
        <f ca="1">ModifyCode(M86)</f>
        <v>#NAME?</v>
      </c>
      <c r="B86" s="4" t="s">
        <v>149</v>
      </c>
      <c r="C86" s="5" t="s">
        <v>18</v>
      </c>
      <c r="D86" s="5" t="s">
        <v>13</v>
      </c>
      <c r="E86" s="5" t="s">
        <v>19</v>
      </c>
      <c r="F86" s="6">
        <v>777</v>
      </c>
      <c r="G86" s="6">
        <v>476</v>
      </c>
      <c r="H86" s="6">
        <v>18</v>
      </c>
      <c r="I86" s="7" t="s">
        <v>12</v>
      </c>
      <c r="J86" s="4"/>
      <c r="K86" s="6">
        <v>5.3079999999999998</v>
      </c>
      <c r="M86" s="8" t="s">
        <v>150</v>
      </c>
      <c r="N86" s="8"/>
    </row>
    <row r="87">
      <c r="A87" s="4" t="str">
        <f ca="1">ModifyCode(M87)</f>
        <v>#NAME?</v>
      </c>
      <c r="B87" s="4" t="s">
        <v>151</v>
      </c>
      <c r="C87" s="5" t="s">
        <v>19</v>
      </c>
      <c r="D87" s="5"/>
      <c r="E87" s="5"/>
      <c r="F87" s="6">
        <v>777</v>
      </c>
      <c r="G87" s="6">
        <v>476</v>
      </c>
      <c r="H87" s="6">
        <v>18</v>
      </c>
      <c r="I87" s="7" t="s">
        <v>18</v>
      </c>
      <c r="J87" s="4" t="s">
        <v>22</v>
      </c>
      <c r="K87" s="6"/>
      <c r="M87" s="8" t="s">
        <v>152</v>
      </c>
      <c r="N87" s="8"/>
    </row>
    <row r="88">
      <c r="A88" s="4" t="str">
        <f ca="1">ModifyCode(M88)</f>
        <v>#NAME?</v>
      </c>
      <c r="B88" s="4" t="s">
        <v>151</v>
      </c>
      <c r="C88" s="5" t="s">
        <v>26</v>
      </c>
      <c r="D88" s="5"/>
      <c r="E88" s="5"/>
      <c r="F88" s="6">
        <v>787</v>
      </c>
      <c r="G88" s="6">
        <v>22</v>
      </c>
      <c r="H88" s="6">
        <v>0.45000000000000001</v>
      </c>
      <c r="I88" s="7" t="s">
        <v>18</v>
      </c>
      <c r="J88" s="4" t="s">
        <v>27</v>
      </c>
      <c r="K88" s="6"/>
      <c r="M88" s="8" t="s">
        <v>153</v>
      </c>
      <c r="N88" s="8"/>
    </row>
    <row r="89">
      <c r="A89" s="4" t="str">
        <f ca="1">ModifyCode(M89)</f>
        <v>#NAME?</v>
      </c>
      <c r="B89" s="4" t="s">
        <v>154</v>
      </c>
      <c r="C89" s="5" t="s">
        <v>18</v>
      </c>
      <c r="D89" s="5" t="s">
        <v>13</v>
      </c>
      <c r="E89" s="5" t="s">
        <v>19</v>
      </c>
      <c r="F89" s="6">
        <v>719</v>
      </c>
      <c r="G89" s="6">
        <v>406</v>
      </c>
      <c r="H89" s="6">
        <v>18</v>
      </c>
      <c r="I89" s="7" t="s">
        <v>12</v>
      </c>
      <c r="J89" s="4"/>
      <c r="K89" s="6">
        <v>4.1840000000000002</v>
      </c>
      <c r="M89" s="8" t="s">
        <v>155</v>
      </c>
      <c r="N89" s="8"/>
    </row>
    <row r="90">
      <c r="A90" s="4" t="str">
        <f ca="1">ModifyCode(M90)</f>
        <v>#NAME?</v>
      </c>
      <c r="B90" s="4" t="s">
        <v>156</v>
      </c>
      <c r="C90" s="5" t="s">
        <v>19</v>
      </c>
      <c r="D90" s="5"/>
      <c r="E90" s="5"/>
      <c r="F90" s="6">
        <v>402</v>
      </c>
      <c r="G90" s="6">
        <v>715</v>
      </c>
      <c r="H90" s="6">
        <v>18</v>
      </c>
      <c r="I90" s="7" t="s">
        <v>18</v>
      </c>
      <c r="J90" s="4" t="s">
        <v>22</v>
      </c>
      <c r="K90" s="6"/>
      <c r="M90" s="8" t="s">
        <v>157</v>
      </c>
      <c r="N90" s="8"/>
    </row>
    <row r="91">
      <c r="A91" s="4" t="str">
        <f ca="1">ModifyCode(M91)</f>
        <v>#NAME?</v>
      </c>
      <c r="B91" s="4" t="s">
        <v>156</v>
      </c>
      <c r="C91" s="5" t="s">
        <v>26</v>
      </c>
      <c r="D91" s="5"/>
      <c r="E91" s="5"/>
      <c r="F91" s="6">
        <v>729</v>
      </c>
      <c r="G91" s="6">
        <v>22</v>
      </c>
      <c r="H91" s="6">
        <v>2</v>
      </c>
      <c r="I91" s="7" t="s">
        <v>18</v>
      </c>
      <c r="J91" s="4" t="s">
        <v>27</v>
      </c>
      <c r="K91" s="6"/>
      <c r="M91" s="8" t="s">
        <v>158</v>
      </c>
      <c r="N91" s="8"/>
    </row>
    <row r="92">
      <c r="A92" s="4" t="str">
        <f ca="1">ModifyCode(M92)</f>
        <v>#NAME?</v>
      </c>
      <c r="B92" s="4" t="s">
        <v>29</v>
      </c>
      <c r="C92" s="5" t="s">
        <v>30</v>
      </c>
      <c r="D92" s="5"/>
      <c r="E92" s="5"/>
      <c r="F92" s="6"/>
      <c r="G92" s="6">
        <v>22</v>
      </c>
      <c r="H92" s="6">
        <v>2</v>
      </c>
      <c r="I92" s="7" t="s">
        <v>26</v>
      </c>
      <c r="J92" s="4"/>
      <c r="K92" s="6"/>
      <c r="M92" s="8" t="s">
        <v>27</v>
      </c>
      <c r="N92" s="8"/>
    </row>
    <row r="93">
      <c r="A93" s="4" t="str">
        <f ca="1">ModifyCode(M93)</f>
        <v>#NAME?</v>
      </c>
      <c r="B93" s="4" t="s">
        <v>156</v>
      </c>
      <c r="C93" s="5" t="s">
        <v>26</v>
      </c>
      <c r="D93" s="5"/>
      <c r="E93" s="5"/>
      <c r="F93" s="6">
        <v>416</v>
      </c>
      <c r="G93" s="6">
        <v>22</v>
      </c>
      <c r="H93" s="6">
        <v>2</v>
      </c>
      <c r="I93" s="7" t="s">
        <v>18</v>
      </c>
      <c r="J93" s="4" t="s">
        <v>27</v>
      </c>
      <c r="K93" s="6"/>
      <c r="M93" s="8" t="s">
        <v>159</v>
      </c>
      <c r="N93" s="8"/>
    </row>
    <row r="94">
      <c r="A94" s="4" t="str">
        <f ca="1">ModifyCode(M94)</f>
        <v>#NAME?</v>
      </c>
      <c r="B94" s="4" t="s">
        <v>156</v>
      </c>
      <c r="C94" s="5" t="s">
        <v>26</v>
      </c>
      <c r="D94" s="5"/>
      <c r="E94" s="5"/>
      <c r="F94" s="6">
        <v>729</v>
      </c>
      <c r="G94" s="6">
        <v>22</v>
      </c>
      <c r="H94" s="6">
        <v>2</v>
      </c>
      <c r="I94" s="7" t="s">
        <v>18</v>
      </c>
      <c r="J94" s="4" t="s">
        <v>27</v>
      </c>
      <c r="K94" s="6"/>
      <c r="M94" s="8" t="s">
        <v>160</v>
      </c>
      <c r="N94" s="8"/>
    </row>
    <row r="95">
      <c r="A95" s="4" t="str">
        <f ca="1">ModifyCode(M95)</f>
        <v>#NAME?</v>
      </c>
      <c r="B95" s="4" t="s">
        <v>156</v>
      </c>
      <c r="C95" s="5" t="s">
        <v>26</v>
      </c>
      <c r="D95" s="5"/>
      <c r="E95" s="5"/>
      <c r="F95" s="6">
        <v>416</v>
      </c>
      <c r="G95" s="6">
        <v>22</v>
      </c>
      <c r="H95" s="6">
        <v>2</v>
      </c>
      <c r="I95" s="7" t="s">
        <v>18</v>
      </c>
      <c r="J95" s="4" t="s">
        <v>27</v>
      </c>
      <c r="K95" s="6"/>
      <c r="M95" s="8" t="s">
        <v>161</v>
      </c>
      <c r="N95" s="8"/>
    </row>
    <row r="96">
      <c r="A96" s="4" t="str">
        <f ca="1">ModifyCode(M96)</f>
        <v>#NAME?</v>
      </c>
      <c r="B96" s="4" t="s">
        <v>162</v>
      </c>
      <c r="C96" s="5" t="s">
        <v>18</v>
      </c>
      <c r="D96" s="5" t="s">
        <v>13</v>
      </c>
      <c r="E96" s="5" t="s">
        <v>19</v>
      </c>
      <c r="F96" s="6">
        <v>358</v>
      </c>
      <c r="G96" s="6">
        <v>252</v>
      </c>
      <c r="H96" s="6">
        <v>18</v>
      </c>
      <c r="I96" s="7" t="s">
        <v>12</v>
      </c>
      <c r="J96" s="4"/>
      <c r="K96" s="6">
        <v>1.282</v>
      </c>
      <c r="M96" s="8" t="s">
        <v>163</v>
      </c>
      <c r="N96" s="8"/>
    </row>
    <row r="97">
      <c r="A97" s="4" t="str">
        <f ca="1">ModifyCode(M97)</f>
        <v>#NAME?</v>
      </c>
      <c r="B97" s="4" t="s">
        <v>164</v>
      </c>
      <c r="C97" s="5" t="s">
        <v>19</v>
      </c>
      <c r="D97" s="5"/>
      <c r="E97" s="5"/>
      <c r="F97" s="6">
        <v>252</v>
      </c>
      <c r="G97" s="6">
        <v>358</v>
      </c>
      <c r="H97" s="6">
        <v>18</v>
      </c>
      <c r="I97" s="7" t="s">
        <v>18</v>
      </c>
      <c r="J97" s="4" t="s">
        <v>22</v>
      </c>
      <c r="K97" s="6"/>
      <c r="M97" s="8" t="s">
        <v>165</v>
      </c>
      <c r="N97" s="8"/>
    </row>
    <row r="98">
      <c r="A98" s="4" t="str">
        <f ca="1">ModifyCode(M98)</f>
        <v>#NAME?</v>
      </c>
      <c r="B98" s="4" t="s">
        <v>164</v>
      </c>
      <c r="C98" s="5" t="s">
        <v>26</v>
      </c>
      <c r="D98" s="5"/>
      <c r="E98" s="5"/>
      <c r="F98" s="6">
        <v>262</v>
      </c>
      <c r="G98" s="6">
        <v>22</v>
      </c>
      <c r="H98" s="6">
        <v>0.45000000000000001</v>
      </c>
      <c r="I98" s="7" t="s">
        <v>18</v>
      </c>
      <c r="J98" s="4" t="s">
        <v>27</v>
      </c>
      <c r="K98" s="6"/>
      <c r="M98" s="8" t="s">
        <v>166</v>
      </c>
      <c r="N98" s="8"/>
    </row>
    <row r="99">
      <c r="A99" s="4" t="str">
        <f ca="1">ModifyCode(M99)</f>
        <v>#NAME?</v>
      </c>
      <c r="B99" s="4" t="s">
        <v>167</v>
      </c>
      <c r="C99" s="5" t="s">
        <v>18</v>
      </c>
      <c r="D99" s="5" t="s">
        <v>13</v>
      </c>
      <c r="E99" s="5" t="s">
        <v>19</v>
      </c>
      <c r="F99" s="6">
        <v>1070</v>
      </c>
      <c r="G99" s="6">
        <v>899</v>
      </c>
      <c r="H99" s="6">
        <v>4</v>
      </c>
      <c r="I99" s="7" t="s">
        <v>12</v>
      </c>
      <c r="J99" s="4"/>
      <c r="K99" s="6">
        <v>3.0779999999999998</v>
      </c>
      <c r="M99" s="8" t="s">
        <v>168</v>
      </c>
      <c r="N99" s="8"/>
    </row>
    <row r="100">
      <c r="A100" s="4" t="str">
        <f ca="1">ModifyCode(M100)</f>
        <v>#NAME?</v>
      </c>
      <c r="B100" s="4" t="s">
        <v>169</v>
      </c>
      <c r="C100" s="5" t="s">
        <v>19</v>
      </c>
      <c r="D100" s="5"/>
      <c r="E100" s="5"/>
      <c r="F100" s="6">
        <v>899</v>
      </c>
      <c r="G100" s="6">
        <v>1070</v>
      </c>
      <c r="H100" s="6">
        <v>4</v>
      </c>
      <c r="I100" s="7" t="s">
        <v>18</v>
      </c>
      <c r="J100" s="4" t="s">
        <v>51</v>
      </c>
      <c r="K100" s="6"/>
      <c r="M100" s="8" t="s">
        <v>170</v>
      </c>
      <c r="N100" s="8"/>
    </row>
    <row r="101">
      <c r="A101" s="4" t="str">
        <f ca="1">ModifyCode(M101)</f>
        <v>#NAME?</v>
      </c>
      <c r="B101" s="4" t="s">
        <v>53</v>
      </c>
      <c r="C101" s="5" t="s">
        <v>25</v>
      </c>
      <c r="D101" s="5"/>
      <c r="E101" s="5"/>
      <c r="F101" s="6"/>
      <c r="G101" s="6"/>
      <c r="H101" s="6">
        <v>4</v>
      </c>
      <c r="I101" s="7" t="s">
        <v>19</v>
      </c>
      <c r="J101" s="4"/>
      <c r="K101" s="6"/>
      <c r="M101" s="8" t="s">
        <v>51</v>
      </c>
      <c r="N101" s="8"/>
    </row>
    <row r="102">
      <c r="A102" s="4" t="str">
        <f ca="1">ModifyCode(M102)</f>
        <v>#NAME?</v>
      </c>
      <c r="B102" s="4" t="s">
        <v>171</v>
      </c>
      <c r="C102" s="5" t="s">
        <v>18</v>
      </c>
      <c r="D102" s="5" t="s">
        <v>13</v>
      </c>
      <c r="E102" s="5" t="s">
        <v>19</v>
      </c>
      <c r="F102" s="6">
        <v>1070</v>
      </c>
      <c r="G102" s="6">
        <v>981</v>
      </c>
      <c r="H102" s="6">
        <v>4</v>
      </c>
      <c r="I102" s="7" t="s">
        <v>12</v>
      </c>
      <c r="J102" s="4"/>
      <c r="K102" s="6">
        <v>3.359</v>
      </c>
      <c r="M102" s="8" t="s">
        <v>172</v>
      </c>
      <c r="N102" s="8"/>
    </row>
    <row r="103">
      <c r="A103" s="4" t="str">
        <f ca="1">ModifyCode(M103)</f>
        <v>#NAME?</v>
      </c>
      <c r="B103" s="4" t="s">
        <v>173</v>
      </c>
      <c r="C103" s="5" t="s">
        <v>19</v>
      </c>
      <c r="D103" s="5"/>
      <c r="E103" s="5"/>
      <c r="F103" s="6">
        <v>981</v>
      </c>
      <c r="G103" s="6">
        <v>1070</v>
      </c>
      <c r="H103" s="6">
        <v>4</v>
      </c>
      <c r="I103" s="7" t="s">
        <v>18</v>
      </c>
      <c r="J103" s="4" t="s">
        <v>51</v>
      </c>
      <c r="K103" s="6"/>
      <c r="M103" s="8" t="s">
        <v>174</v>
      </c>
      <c r="N103" s="8"/>
    </row>
    <row r="104">
      <c r="A104" s="4" t="str">
        <f ca="1">ModifyCode(M104)</f>
        <v>#NAME?</v>
      </c>
      <c r="B104" s="4" t="s">
        <v>175</v>
      </c>
      <c r="C104" s="5" t="s">
        <v>18</v>
      </c>
      <c r="D104" s="5" t="s">
        <v>13</v>
      </c>
      <c r="E104" s="5" t="s">
        <v>19</v>
      </c>
      <c r="F104" s="6">
        <v>918</v>
      </c>
      <c r="G104" s="6">
        <v>178</v>
      </c>
      <c r="H104" s="6">
        <v>18</v>
      </c>
      <c r="I104" s="7" t="s">
        <v>12</v>
      </c>
      <c r="J104" s="4"/>
      <c r="K104" s="6">
        <v>2.3460000000000001</v>
      </c>
      <c r="M104" s="8" t="s">
        <v>176</v>
      </c>
      <c r="N104" s="8"/>
    </row>
    <row r="105">
      <c r="A105" s="4" t="str">
        <f ca="1">ModifyCode(M105)</f>
        <v>#NAME?</v>
      </c>
      <c r="B105" s="4" t="s">
        <v>177</v>
      </c>
      <c r="C105" s="5" t="s">
        <v>19</v>
      </c>
      <c r="D105" s="5"/>
      <c r="E105" s="5"/>
      <c r="F105" s="6">
        <v>914</v>
      </c>
      <c r="G105" s="6">
        <v>174</v>
      </c>
      <c r="H105" s="6">
        <v>18</v>
      </c>
      <c r="I105" s="7" t="s">
        <v>18</v>
      </c>
      <c r="J105" s="4" t="s">
        <v>22</v>
      </c>
      <c r="K105" s="6"/>
      <c r="M105" s="8" t="s">
        <v>178</v>
      </c>
      <c r="N105" s="8"/>
    </row>
    <row r="106">
      <c r="A106" s="4" t="str">
        <f ca="1">ModifyCode(M106)</f>
        <v>#NAME?</v>
      </c>
      <c r="B106" s="4" t="s">
        <v>177</v>
      </c>
      <c r="C106" s="5" t="s">
        <v>26</v>
      </c>
      <c r="D106" s="5"/>
      <c r="E106" s="5"/>
      <c r="F106" s="6">
        <v>188</v>
      </c>
      <c r="G106" s="6">
        <v>22</v>
      </c>
      <c r="H106" s="6">
        <v>2</v>
      </c>
      <c r="I106" s="7" t="s">
        <v>18</v>
      </c>
      <c r="J106" s="4" t="s">
        <v>27</v>
      </c>
      <c r="K106" s="6"/>
      <c r="M106" s="8" t="s">
        <v>179</v>
      </c>
      <c r="N106" s="8"/>
    </row>
    <row r="107">
      <c r="A107" s="4" t="str">
        <f ca="1">ModifyCode(M107)</f>
        <v>#NAME?</v>
      </c>
      <c r="B107" s="4" t="s">
        <v>177</v>
      </c>
      <c r="C107" s="5" t="s">
        <v>26</v>
      </c>
      <c r="D107" s="5"/>
      <c r="E107" s="5"/>
      <c r="F107" s="6">
        <v>928</v>
      </c>
      <c r="G107" s="6">
        <v>22</v>
      </c>
      <c r="H107" s="6">
        <v>2</v>
      </c>
      <c r="I107" s="7" t="s">
        <v>18</v>
      </c>
      <c r="J107" s="4" t="s">
        <v>27</v>
      </c>
      <c r="K107" s="6"/>
      <c r="M107" s="8" t="s">
        <v>180</v>
      </c>
      <c r="N107" s="8"/>
    </row>
    <row r="108">
      <c r="A108" s="4" t="str">
        <f ca="1">ModifyCode(M108)</f>
        <v>#NAME?</v>
      </c>
      <c r="B108" s="4" t="s">
        <v>177</v>
      </c>
      <c r="C108" s="5" t="s">
        <v>26</v>
      </c>
      <c r="D108" s="5"/>
      <c r="E108" s="5"/>
      <c r="F108" s="6">
        <v>188</v>
      </c>
      <c r="G108" s="6">
        <v>22</v>
      </c>
      <c r="H108" s="6">
        <v>2</v>
      </c>
      <c r="I108" s="7" t="s">
        <v>18</v>
      </c>
      <c r="J108" s="4" t="s">
        <v>27</v>
      </c>
      <c r="K108" s="6"/>
      <c r="M108" s="8" t="s">
        <v>181</v>
      </c>
      <c r="N108" s="8"/>
    </row>
    <row r="109">
      <c r="A109" s="4" t="str">
        <f ca="1">ModifyCode(M109)</f>
        <v>#NAME?</v>
      </c>
      <c r="B109" s="4" t="s">
        <v>177</v>
      </c>
      <c r="C109" s="5" t="s">
        <v>26</v>
      </c>
      <c r="D109" s="5"/>
      <c r="E109" s="5"/>
      <c r="F109" s="6">
        <v>928</v>
      </c>
      <c r="G109" s="6">
        <v>22</v>
      </c>
      <c r="H109" s="6">
        <v>2</v>
      </c>
      <c r="I109" s="7" t="s">
        <v>18</v>
      </c>
      <c r="J109" s="4" t="s">
        <v>27</v>
      </c>
      <c r="K109" s="6"/>
      <c r="M109" s="8" t="s">
        <v>182</v>
      </c>
      <c r="N109" s="8"/>
    </row>
    <row r="110">
      <c r="A110" s="4" t="str">
        <f ca="1">ModifyCode(M110)</f>
        <v>#NAME?</v>
      </c>
      <c r="B110" s="4" t="s">
        <v>183</v>
      </c>
      <c r="C110" s="5" t="s">
        <v>18</v>
      </c>
      <c r="D110" s="5" t="s">
        <v>13</v>
      </c>
      <c r="E110" s="5" t="s">
        <v>19</v>
      </c>
      <c r="F110" s="6">
        <v>480</v>
      </c>
      <c r="G110" s="6">
        <v>352</v>
      </c>
      <c r="H110" s="6">
        <v>18</v>
      </c>
      <c r="I110" s="7" t="s">
        <v>12</v>
      </c>
      <c r="J110" s="4"/>
      <c r="K110" s="6">
        <v>2.4209999999999998</v>
      </c>
      <c r="M110" s="8" t="s">
        <v>184</v>
      </c>
      <c r="N110" s="8"/>
    </row>
    <row r="111">
      <c r="A111" s="4" t="str">
        <f ca="1">ModifyCode(M111)</f>
        <v>#NAME?</v>
      </c>
      <c r="B111" s="4" t="s">
        <v>185</v>
      </c>
      <c r="C111" s="5" t="s">
        <v>19</v>
      </c>
      <c r="D111" s="5"/>
      <c r="E111" s="5"/>
      <c r="F111" s="6">
        <v>479</v>
      </c>
      <c r="G111" s="6">
        <v>351</v>
      </c>
      <c r="H111" s="6">
        <v>18</v>
      </c>
      <c r="I111" s="7" t="s">
        <v>18</v>
      </c>
      <c r="J111" s="4" t="s">
        <v>22</v>
      </c>
      <c r="K111" s="6"/>
      <c r="M111" s="8" t="s">
        <v>186</v>
      </c>
      <c r="N111" s="8"/>
    </row>
    <row r="112">
      <c r="A112" s="4" t="str">
        <f ca="1">ModifyCode(M112)</f>
        <v>#NAME?</v>
      </c>
      <c r="B112" s="4" t="s">
        <v>185</v>
      </c>
      <c r="C112" s="5" t="s">
        <v>26</v>
      </c>
      <c r="D112" s="5"/>
      <c r="E112" s="5"/>
      <c r="F112" s="6">
        <v>361</v>
      </c>
      <c r="G112" s="6">
        <v>22</v>
      </c>
      <c r="H112" s="6">
        <v>0.45000000000000001</v>
      </c>
      <c r="I112" s="7" t="s">
        <v>18</v>
      </c>
      <c r="J112" s="4" t="s">
        <v>27</v>
      </c>
      <c r="K112" s="6"/>
      <c r="M112" s="8" t="s">
        <v>187</v>
      </c>
      <c r="N112" s="8"/>
    </row>
    <row r="113">
      <c r="A113" s="4" t="str">
        <f ca="1">ModifyCode(M113)</f>
        <v>#NAME?</v>
      </c>
      <c r="B113" s="4" t="s">
        <v>185</v>
      </c>
      <c r="C113" s="5" t="s">
        <v>26</v>
      </c>
      <c r="D113" s="5"/>
      <c r="E113" s="5"/>
      <c r="F113" s="6">
        <v>361</v>
      </c>
      <c r="G113" s="6">
        <v>22</v>
      </c>
      <c r="H113" s="6">
        <v>0.45000000000000001</v>
      </c>
      <c r="I113" s="7" t="s">
        <v>18</v>
      </c>
      <c r="J113" s="4" t="s">
        <v>27</v>
      </c>
      <c r="K113" s="6"/>
      <c r="M113" s="8" t="s">
        <v>188</v>
      </c>
      <c r="N113" s="8"/>
    </row>
    <row r="114">
      <c r="A114" s="4" t="str">
        <f ca="1">ModifyCode(M114)</f>
        <v>#NAME?</v>
      </c>
      <c r="B114" s="4" t="s">
        <v>185</v>
      </c>
      <c r="C114" s="5" t="s">
        <v>26</v>
      </c>
      <c r="D114" s="5"/>
      <c r="E114" s="5"/>
      <c r="F114" s="6">
        <v>489</v>
      </c>
      <c r="G114" s="6">
        <v>22</v>
      </c>
      <c r="H114" s="6">
        <v>0.45000000000000001</v>
      </c>
      <c r="I114" s="7" t="s">
        <v>18</v>
      </c>
      <c r="J114" s="4" t="s">
        <v>27</v>
      </c>
      <c r="K114" s="6"/>
      <c r="M114" s="8" t="s">
        <v>189</v>
      </c>
      <c r="N114" s="8"/>
    </row>
    <row r="115">
      <c r="A115" s="4" t="str">
        <f ca="1">ModifyCode(M115)</f>
        <v>#NAME?</v>
      </c>
      <c r="B115" s="4" t="s">
        <v>185</v>
      </c>
      <c r="C115" s="5" t="s">
        <v>26</v>
      </c>
      <c r="D115" s="5"/>
      <c r="E115" s="5"/>
      <c r="F115" s="6">
        <v>489</v>
      </c>
      <c r="G115" s="6">
        <v>22</v>
      </c>
      <c r="H115" s="6">
        <v>0.45000000000000001</v>
      </c>
      <c r="I115" s="7" t="s">
        <v>18</v>
      </c>
      <c r="J115" s="4" t="s">
        <v>27</v>
      </c>
      <c r="K115" s="6"/>
      <c r="M115" s="8" t="s">
        <v>190</v>
      </c>
      <c r="N115" s="8"/>
    </row>
    <row r="116">
      <c r="A116" s="4" t="str">
        <f ca="1">ModifyCode(M116)</f>
        <v>#NAME?</v>
      </c>
      <c r="B116" s="4" t="s">
        <v>191</v>
      </c>
      <c r="C116" s="5" t="s">
        <v>18</v>
      </c>
      <c r="D116" s="5" t="s">
        <v>13</v>
      </c>
      <c r="E116" s="5" t="s">
        <v>19</v>
      </c>
      <c r="F116" s="6">
        <v>457</v>
      </c>
      <c r="G116" s="6">
        <v>380</v>
      </c>
      <c r="H116" s="6">
        <v>18</v>
      </c>
      <c r="I116" s="7" t="s">
        <v>12</v>
      </c>
      <c r="J116" s="4"/>
      <c r="K116" s="6">
        <v>2.4889999999999999</v>
      </c>
      <c r="M116" s="8" t="s">
        <v>192</v>
      </c>
      <c r="N116" s="8"/>
    </row>
    <row r="117">
      <c r="A117" s="4" t="str">
        <f ca="1">ModifyCode(M117)</f>
        <v>#NAME?</v>
      </c>
      <c r="B117" s="4" t="s">
        <v>193</v>
      </c>
      <c r="C117" s="5" t="s">
        <v>19</v>
      </c>
      <c r="D117" s="5"/>
      <c r="E117" s="5"/>
      <c r="F117" s="6">
        <v>456</v>
      </c>
      <c r="G117" s="6">
        <v>379</v>
      </c>
      <c r="H117" s="6">
        <v>18</v>
      </c>
      <c r="I117" s="7" t="s">
        <v>18</v>
      </c>
      <c r="J117" s="4" t="s">
        <v>22</v>
      </c>
      <c r="K117" s="6"/>
      <c r="M117" s="8" t="s">
        <v>194</v>
      </c>
      <c r="N117" s="8"/>
    </row>
    <row r="118">
      <c r="A118" s="4" t="str">
        <f ca="1">ModifyCode(M118)</f>
        <v>#NAME?</v>
      </c>
      <c r="B118" s="4" t="s">
        <v>193</v>
      </c>
      <c r="C118" s="5" t="s">
        <v>26</v>
      </c>
      <c r="D118" s="5"/>
      <c r="E118" s="5"/>
      <c r="F118" s="6">
        <v>466</v>
      </c>
      <c r="G118" s="6">
        <v>22</v>
      </c>
      <c r="H118" s="6">
        <v>0.45000000000000001</v>
      </c>
      <c r="I118" s="7" t="s">
        <v>18</v>
      </c>
      <c r="J118" s="4" t="s">
        <v>27</v>
      </c>
      <c r="K118" s="6"/>
      <c r="M118" s="8" t="s">
        <v>195</v>
      </c>
      <c r="N118" s="8"/>
    </row>
    <row r="119">
      <c r="A119" s="4" t="str">
        <f ca="1">ModifyCode(M119)</f>
        <v>#NAME?</v>
      </c>
      <c r="B119" s="4" t="s">
        <v>193</v>
      </c>
      <c r="C119" s="5" t="s">
        <v>26</v>
      </c>
      <c r="D119" s="5"/>
      <c r="E119" s="5"/>
      <c r="F119" s="6">
        <v>466</v>
      </c>
      <c r="G119" s="6">
        <v>22</v>
      </c>
      <c r="H119" s="6">
        <v>0.45000000000000001</v>
      </c>
      <c r="I119" s="7" t="s">
        <v>18</v>
      </c>
      <c r="J119" s="4" t="s">
        <v>27</v>
      </c>
      <c r="K119" s="6"/>
      <c r="M119" s="8" t="s">
        <v>196</v>
      </c>
      <c r="N119" s="8"/>
    </row>
    <row r="120">
      <c r="A120" s="4" t="str">
        <f ca="1">ModifyCode(M120)</f>
        <v>#NAME?</v>
      </c>
      <c r="B120" s="4" t="s">
        <v>193</v>
      </c>
      <c r="C120" s="5" t="s">
        <v>26</v>
      </c>
      <c r="D120" s="5"/>
      <c r="E120" s="5"/>
      <c r="F120" s="6">
        <v>389</v>
      </c>
      <c r="G120" s="6">
        <v>22</v>
      </c>
      <c r="H120" s="6">
        <v>0.45000000000000001</v>
      </c>
      <c r="I120" s="7" t="s">
        <v>18</v>
      </c>
      <c r="J120" s="4" t="s">
        <v>27</v>
      </c>
      <c r="K120" s="6"/>
      <c r="M120" s="8" t="s">
        <v>197</v>
      </c>
      <c r="N120" s="8"/>
    </row>
    <row r="121">
      <c r="A121" s="4" t="str">
        <f ca="1">ModifyCode(M121)</f>
        <v>#NAME?</v>
      </c>
      <c r="B121" s="4" t="s">
        <v>193</v>
      </c>
      <c r="C121" s="5" t="s">
        <v>26</v>
      </c>
      <c r="D121" s="5"/>
      <c r="E121" s="5"/>
      <c r="F121" s="6">
        <v>389</v>
      </c>
      <c r="G121" s="6">
        <v>22</v>
      </c>
      <c r="H121" s="6">
        <v>0.45000000000000001</v>
      </c>
      <c r="I121" s="7" t="s">
        <v>18</v>
      </c>
      <c r="J121" s="4" t="s">
        <v>27</v>
      </c>
      <c r="K121" s="6"/>
      <c r="M121" s="8" t="s">
        <v>198</v>
      </c>
      <c r="N121" s="8"/>
    </row>
    <row r="122">
      <c r="A122" s="4" t="str">
        <f ca="1">ModifyCode(M122)</f>
        <v>#NAME?</v>
      </c>
      <c r="B122" s="4" t="s">
        <v>199</v>
      </c>
      <c r="C122" s="5" t="s">
        <v>55</v>
      </c>
      <c r="D122" s="5" t="s">
        <v>55</v>
      </c>
      <c r="E122" s="5"/>
      <c r="F122" s="6"/>
      <c r="G122" s="6"/>
      <c r="H122" s="6"/>
      <c r="I122" s="7" t="s">
        <v>12</v>
      </c>
      <c r="J122" s="4"/>
      <c r="K122" s="6"/>
      <c r="M122" s="8" t="s">
        <v>200</v>
      </c>
      <c r="N122" s="8"/>
    </row>
    <row r="123">
      <c r="A123" s="4" t="str">
        <f ca="1">ModifyCode(M123)</f>
        <v>#NAME?</v>
      </c>
      <c r="B123" s="4" t="s">
        <v>201</v>
      </c>
      <c r="C123" s="5" t="s">
        <v>55</v>
      </c>
      <c r="D123" s="5" t="s">
        <v>55</v>
      </c>
      <c r="E123" s="5"/>
      <c r="F123" s="6"/>
      <c r="G123" s="6"/>
      <c r="H123" s="6"/>
      <c r="I123" s="7" t="s">
        <v>12</v>
      </c>
      <c r="J123" s="4"/>
      <c r="K123" s="6"/>
      <c r="M123" s="8" t="s">
        <v>202</v>
      </c>
      <c r="N123" s="8"/>
    </row>
    <row r="124">
      <c r="A124" s="4" t="str">
        <f ca="1">ModifyCode(M124)</f>
        <v>#NAME?</v>
      </c>
      <c r="B124" s="4" t="s">
        <v>203</v>
      </c>
      <c r="C124" s="5" t="s">
        <v>55</v>
      </c>
      <c r="D124" s="5" t="s">
        <v>55</v>
      </c>
      <c r="E124" s="5"/>
      <c r="F124" s="6"/>
      <c r="G124" s="6"/>
      <c r="H124" s="6"/>
      <c r="I124" s="7" t="s">
        <v>12</v>
      </c>
      <c r="J124" s="4"/>
      <c r="K124" s="6"/>
      <c r="M124" s="8" t="s">
        <v>204</v>
      </c>
      <c r="N124" s="8"/>
    </row>
    <row r="125">
      <c r="A125" s="4" t="str">
        <f ca="1">ModifyCode(M125)</f>
        <v>#NAME?</v>
      </c>
      <c r="B125" s="4" t="s">
        <v>205</v>
      </c>
      <c r="C125" s="5" t="s">
        <v>55</v>
      </c>
      <c r="D125" s="5" t="s">
        <v>55</v>
      </c>
      <c r="E125" s="5"/>
      <c r="F125" s="6"/>
      <c r="G125" s="6"/>
      <c r="H125" s="6"/>
      <c r="I125" s="7" t="s">
        <v>12</v>
      </c>
      <c r="J125" s="4"/>
      <c r="K125" s="6"/>
      <c r="M125" s="8" t="s">
        <v>206</v>
      </c>
      <c r="N125" s="8"/>
    </row>
    <row r="126">
      <c r="A126" s="4" t="str">
        <f ca="1">ModifyCode(M126)</f>
        <v>#NAME?</v>
      </c>
      <c r="B126" s="4" t="s">
        <v>207</v>
      </c>
      <c r="C126" s="5" t="s">
        <v>55</v>
      </c>
      <c r="D126" s="5" t="s">
        <v>55</v>
      </c>
      <c r="E126" s="5"/>
      <c r="F126" s="6"/>
      <c r="G126" s="6"/>
      <c r="H126" s="6"/>
      <c r="I126" s="7" t="s">
        <v>12</v>
      </c>
      <c r="J126" s="4"/>
      <c r="K126" s="6"/>
      <c r="M126" s="8" t="s">
        <v>208</v>
      </c>
      <c r="N126" s="8"/>
    </row>
    <row r="127">
      <c r="A127" s="4" t="str">
        <f ca="1">ModifyCode(M127)</f>
        <v>#NAME?</v>
      </c>
      <c r="B127" s="4" t="s">
        <v>209</v>
      </c>
      <c r="C127" s="5" t="s">
        <v>55</v>
      </c>
      <c r="D127" s="5" t="s">
        <v>55</v>
      </c>
      <c r="E127" s="5"/>
      <c r="F127" s="6"/>
      <c r="G127" s="6"/>
      <c r="H127" s="6"/>
      <c r="I127" s="7" t="s">
        <v>12</v>
      </c>
      <c r="J127" s="4"/>
      <c r="K127" s="6"/>
      <c r="M127" s="8" t="s">
        <v>210</v>
      </c>
      <c r="N127" s="8"/>
    </row>
    <row r="128">
      <c r="A128" s="4" t="str">
        <f ca="1">ModifyCode(M128)</f>
        <v>#NAME?</v>
      </c>
      <c r="B128" s="4" t="s">
        <v>211</v>
      </c>
      <c r="C128" s="5" t="s">
        <v>55</v>
      </c>
      <c r="D128" s="5" t="s">
        <v>55</v>
      </c>
      <c r="E128" s="5"/>
      <c r="F128" s="6"/>
      <c r="G128" s="6"/>
      <c r="H128" s="6"/>
      <c r="I128" s="7" t="s">
        <v>12</v>
      </c>
      <c r="J128" s="4"/>
      <c r="K128" s="6"/>
      <c r="M128" s="8" t="s">
        <v>212</v>
      </c>
      <c r="N128" s="8"/>
    </row>
    <row r="129">
      <c r="A129" s="4" t="str">
        <f ca="1">ModifyCode(M129)</f>
        <v>#NAME?</v>
      </c>
      <c r="B129" s="4" t="s">
        <v>58</v>
      </c>
      <c r="C129" s="5" t="s">
        <v>55</v>
      </c>
      <c r="D129" s="5" t="s">
        <v>55</v>
      </c>
      <c r="E129" s="5"/>
      <c r="F129" s="6"/>
      <c r="G129" s="6"/>
      <c r="H129" s="6"/>
      <c r="I129" s="7" t="s">
        <v>12</v>
      </c>
      <c r="J129" s="4"/>
      <c r="K129" s="6"/>
      <c r="M129" s="8" t="s">
        <v>213</v>
      </c>
      <c r="N129" s="8"/>
    </row>
    <row r="130">
      <c r="A130" s="4" t="str">
        <f ca="1">ModifyCode(M130)</f>
        <v>#NAME?</v>
      </c>
      <c r="B130" s="4" t="s">
        <v>214</v>
      </c>
      <c r="C130" s="5" t="s">
        <v>55</v>
      </c>
      <c r="D130" s="5" t="s">
        <v>55</v>
      </c>
      <c r="E130" s="5"/>
      <c r="F130" s="6"/>
      <c r="G130" s="6"/>
      <c r="H130" s="6"/>
      <c r="I130" s="7" t="s">
        <v>12</v>
      </c>
      <c r="J130" s="4"/>
      <c r="K130" s="6"/>
      <c r="M130" s="8" t="s">
        <v>215</v>
      </c>
      <c r="N130" s="8"/>
    </row>
  </sheetData>
  <pageMargins left="0.69999999999999996" right="0.69999999999999996" top="0.75" bottom="0.75" header="0.29999999999999999" footer="0.29999999999999999"/>
  <pageSetup orientation="portrait" scale="100" paperSize="1" fitToWidth="1" fitToHeight="1" horizontalDpi="600" verticalDpi="600" copies="1" r:id="rId1"/>
</worksheet>
</file>

<file path=xl/worksheets/sheet2.xml><?xml version="1.0" encoding="utf-8"?>
<worksheet xmlns="http://schemas.openxmlformats.org/spreadsheetml/2006/main" xmlns:r="http://schemas.openxmlformats.org/officeDocument/2006/relationships" xmlns:x14="http://schemas.microsoft.com/office/spreadsheetml/2009/9/main">
  <sheetPr codeName="Sheet2"/>
  <dimension ref="A1:H202"/>
  <sheetViews>
    <sheetView workbookViewId="0" topLeftCell="A1" zoomScaleNormal="100" zoomScaleSheetLayoutView="60" zoomScale="100" view="normal">
      <selection activeCell="C10" sqref="C10"/>
    </sheetView>
  </sheetViews>
  <sheetFormatPr defaultRowHeight="15"/>
  <cols>
    <col min="1" max="2" width="35.71094" customWidth="1"/>
    <col min="3" max="4" width="10.71094" customWidth="1"/>
    <col min="5" max="6" width="5.710938" customWidth="1"/>
    <col min="7" max="8" width="35.71094" customWidth="1"/>
  </cols>
  <sheetData>
    <row r="1">
      <c r="A1" s="9" t="s">
        <v>216</v>
      </c>
      <c r="B1" s="10" t="s">
        <v>217</v>
      </c>
      <c r="C1" s="11" t="s">
        <v>218</v>
      </c>
      <c r="D1" s="11" t="s">
        <v>219</v>
      </c>
    </row>
    <row r="2">
      <c r="A2" s="12" t="str">
        <f ca="1">ModifyCode(G2)</f>
        <v>#NAME?</v>
      </c>
      <c r="B2" s="12" t="str">
        <f ca="1">ModifyCode(H2)</f>
        <v>#NAME?</v>
      </c>
      <c r="C2" s="13">
        <v>1</v>
      </c>
      <c r="D2" s="14" t="s">
        <v>220</v>
      </c>
      <c r="E2" s="15"/>
      <c r="F2" s="15"/>
      <c r="G2" s="16"/>
      <c r="H2" s="16" t="s">
        <v>14</v>
      </c>
    </row>
    <row r="3">
      <c r="A3" s="12" t="str">
        <f ca="1">ModifyCode(G3)</f>
        <v>#NAME?</v>
      </c>
      <c r="B3" s="12" t="str">
        <f ca="1">ModifyCode(H3)</f>
        <v>#NAME?</v>
      </c>
      <c r="C3" s="13">
        <v>4</v>
      </c>
      <c r="D3" s="14" t="s">
        <v>220</v>
      </c>
      <c r="E3" s="15"/>
      <c r="F3" s="15"/>
      <c r="G3" s="16" t="s">
        <v>14</v>
      </c>
      <c r="H3" s="16" t="s">
        <v>16</v>
      </c>
    </row>
    <row r="4">
      <c r="A4" s="12" t="str">
        <f ca="1">ModifyCode(G4)</f>
        <v>#NAME?</v>
      </c>
      <c r="B4" s="12" t="str">
        <f ca="1">ModifyCode(H4)</f>
        <v>#NAME?</v>
      </c>
      <c r="C4" s="13">
        <v>1</v>
      </c>
      <c r="D4" s="14" t="s">
        <v>220</v>
      </c>
      <c r="E4" s="15"/>
      <c r="F4" s="15"/>
      <c r="G4" s="16" t="s">
        <v>16</v>
      </c>
      <c r="H4" s="16" t="s">
        <v>20</v>
      </c>
    </row>
    <row r="5">
      <c r="A5" s="12" t="str">
        <f ca="1">ModifyCode(G5)</f>
        <v>#NAME?</v>
      </c>
      <c r="B5" s="12" t="str">
        <f ca="1">ModifyCode(H5)</f>
        <v>#NAME?</v>
      </c>
      <c r="C5" s="13">
        <v>1</v>
      </c>
      <c r="D5" s="14" t="s">
        <v>220</v>
      </c>
      <c r="E5" s="15"/>
      <c r="F5" s="15"/>
      <c r="G5" s="16" t="s">
        <v>20</v>
      </c>
      <c r="H5" s="16" t="s">
        <v>23</v>
      </c>
    </row>
    <row r="6">
      <c r="A6" s="12" t="str">
        <f ca="1">ModifyCode(G6)</f>
        <v>#NAME?</v>
      </c>
      <c r="B6" s="12" t="str">
        <f ca="1">ModifyCode(H6)</f>
        <v>#NAME?</v>
      </c>
      <c r="C6" s="13">
        <v>0.121</v>
      </c>
      <c r="D6" s="14" t="s">
        <v>221</v>
      </c>
      <c r="E6" s="15"/>
      <c r="F6" s="15"/>
      <c r="G6" s="16" t="s">
        <v>23</v>
      </c>
      <c r="H6" s="16" t="s">
        <v>22</v>
      </c>
    </row>
    <row r="7">
      <c r="A7" s="12" t="str">
        <f ca="1">ModifyCode(G7)</f>
        <v>#NAME?</v>
      </c>
      <c r="B7" s="12" t="str">
        <f ca="1">ModifyCode(H7)</f>
        <v>#NAME?</v>
      </c>
      <c r="C7" s="13">
        <v>1</v>
      </c>
      <c r="D7" s="14" t="s">
        <v>220</v>
      </c>
      <c r="E7" s="15"/>
      <c r="F7" s="15"/>
      <c r="G7" s="16" t="s">
        <v>20</v>
      </c>
      <c r="H7" s="16" t="s">
        <v>28</v>
      </c>
    </row>
    <row r="8">
      <c r="A8" s="12" t="str">
        <f ca="1">ModifyCode(G8)</f>
        <v>#NAME?</v>
      </c>
      <c r="B8" s="12" t="str">
        <f ca="1">ModifyCode(H8)</f>
        <v>#NAME?</v>
      </c>
      <c r="C8" s="13">
        <v>0.83999999999999997</v>
      </c>
      <c r="D8" s="14" t="s">
        <v>222</v>
      </c>
      <c r="E8" s="15"/>
      <c r="F8" s="15"/>
      <c r="G8" s="16" t="s">
        <v>28</v>
      </c>
      <c r="H8" s="16" t="s">
        <v>27</v>
      </c>
    </row>
    <row r="9">
      <c r="A9" s="12" t="str">
        <f ca="1">ModifyCode(G9)</f>
        <v>#NAME?</v>
      </c>
      <c r="B9" s="12" t="str">
        <f ca="1">ModifyCode(H9)</f>
        <v>#NAME?</v>
      </c>
      <c r="C9" s="13">
        <v>1</v>
      </c>
      <c r="D9" s="14" t="s">
        <v>220</v>
      </c>
      <c r="E9" s="15"/>
      <c r="F9" s="15"/>
      <c r="G9" s="16" t="s">
        <v>16</v>
      </c>
      <c r="H9" s="16" t="s">
        <v>32</v>
      </c>
    </row>
    <row r="10">
      <c r="A10" s="12" t="str">
        <f ca="1">ModifyCode(G10)</f>
        <v>#NAME?</v>
      </c>
      <c r="B10" s="12" t="str">
        <f ca="1">ModifyCode(H10)</f>
        <v>#NAME?</v>
      </c>
      <c r="C10" s="13">
        <v>1</v>
      </c>
      <c r="D10" s="14" t="s">
        <v>220</v>
      </c>
      <c r="E10" s="15"/>
      <c r="F10" s="15"/>
      <c r="G10" s="16" t="s">
        <v>32</v>
      </c>
      <c r="H10" s="16" t="s">
        <v>34</v>
      </c>
    </row>
    <row r="11">
      <c r="A11" s="12" t="str">
        <f ca="1">ModifyCode(G11)</f>
        <v>#NAME?</v>
      </c>
      <c r="B11" s="12" t="str">
        <f ca="1">ModifyCode(H11)</f>
        <v>#NAME?</v>
      </c>
      <c r="C11" s="13">
        <v>0.066000000000000003</v>
      </c>
      <c r="D11" s="14" t="s">
        <v>221</v>
      </c>
      <c r="E11" s="15"/>
      <c r="F11" s="15"/>
      <c r="G11" s="16" t="s">
        <v>34</v>
      </c>
      <c r="H11" s="16" t="s">
        <v>22</v>
      </c>
    </row>
    <row r="12">
      <c r="A12" s="12" t="str">
        <f ca="1">ModifyCode(G12)</f>
        <v>#NAME?</v>
      </c>
      <c r="B12" s="12" t="str">
        <f ca="1">ModifyCode(H12)</f>
        <v>#NAME?</v>
      </c>
      <c r="C12" s="13">
        <v>1</v>
      </c>
      <c r="D12" s="14" t="s">
        <v>220</v>
      </c>
      <c r="E12" s="15"/>
      <c r="F12" s="15"/>
      <c r="G12" s="16" t="s">
        <v>32</v>
      </c>
      <c r="H12" s="16" t="s">
        <v>35</v>
      </c>
    </row>
    <row r="13">
      <c r="A13" s="12" t="str">
        <f ca="1">ModifyCode(G13)</f>
        <v>#NAME?</v>
      </c>
      <c r="B13" s="12" t="str">
        <f ca="1">ModifyCode(H13)</f>
        <v>#NAME?</v>
      </c>
      <c r="C13" s="13">
        <v>0.14399999999999999</v>
      </c>
      <c r="D13" s="14" t="s">
        <v>222</v>
      </c>
      <c r="E13" s="15"/>
      <c r="F13" s="15"/>
      <c r="G13" s="16" t="s">
        <v>35</v>
      </c>
      <c r="H13" s="16" t="s">
        <v>27</v>
      </c>
    </row>
    <row r="14">
      <c r="A14" s="12" t="str">
        <f ca="1">ModifyCode(G14)</f>
        <v>#NAME?</v>
      </c>
      <c r="B14" s="12" t="str">
        <f ca="1">ModifyCode(H14)</f>
        <v>#NAME?</v>
      </c>
      <c r="C14" s="13">
        <v>1</v>
      </c>
      <c r="D14" s="14" t="s">
        <v>220</v>
      </c>
      <c r="E14" s="15"/>
      <c r="F14" s="15"/>
      <c r="G14" s="16" t="s">
        <v>32</v>
      </c>
      <c r="H14" s="16" t="s">
        <v>36</v>
      </c>
    </row>
    <row r="15">
      <c r="A15" s="12" t="str">
        <f ca="1">ModifyCode(G15)</f>
        <v>#NAME?</v>
      </c>
      <c r="B15" s="12" t="str">
        <f ca="1">ModifyCode(H15)</f>
        <v>#NAME?</v>
      </c>
      <c r="C15" s="13">
        <v>0.45600000000000002</v>
      </c>
      <c r="D15" s="14" t="s">
        <v>222</v>
      </c>
      <c r="E15" s="15"/>
      <c r="F15" s="15"/>
      <c r="G15" s="16" t="s">
        <v>36</v>
      </c>
      <c r="H15" s="16" t="s">
        <v>27</v>
      </c>
    </row>
    <row r="16">
      <c r="A16" s="12" t="str">
        <f ca="1">ModifyCode(G16)</f>
        <v>#NAME?</v>
      </c>
      <c r="B16" s="12" t="str">
        <f ca="1">ModifyCode(H16)</f>
        <v>#NAME?</v>
      </c>
      <c r="C16" s="13">
        <v>1</v>
      </c>
      <c r="D16" s="14" t="s">
        <v>220</v>
      </c>
      <c r="E16" s="15"/>
      <c r="F16" s="15"/>
      <c r="G16" s="16" t="s">
        <v>16</v>
      </c>
      <c r="H16" s="16" t="s">
        <v>38</v>
      </c>
    </row>
    <row r="17">
      <c r="A17" s="12" t="str">
        <f ca="1">ModifyCode(G17)</f>
        <v>#NAME?</v>
      </c>
      <c r="B17" s="12" t="str">
        <f ca="1">ModifyCode(H17)</f>
        <v>#NAME?</v>
      </c>
      <c r="C17" s="13">
        <v>1</v>
      </c>
      <c r="D17" s="14" t="s">
        <v>220</v>
      </c>
      <c r="E17" s="15"/>
      <c r="F17" s="15"/>
      <c r="G17" s="16" t="s">
        <v>38</v>
      </c>
      <c r="H17" s="16" t="s">
        <v>40</v>
      </c>
    </row>
    <row r="18">
      <c r="A18" s="12" t="str">
        <f ca="1">ModifyCode(G18)</f>
        <v>#NAME?</v>
      </c>
      <c r="B18" s="12" t="str">
        <f ca="1">ModifyCode(H18)</f>
        <v>#NAME?</v>
      </c>
      <c r="C18" s="13">
        <v>0.066000000000000003</v>
      </c>
      <c r="D18" s="14" t="s">
        <v>221</v>
      </c>
      <c r="E18" s="15"/>
      <c r="F18" s="15"/>
      <c r="G18" s="16" t="s">
        <v>40</v>
      </c>
      <c r="H18" s="16" t="s">
        <v>22</v>
      </c>
    </row>
    <row r="19">
      <c r="A19" s="12" t="str">
        <f ca="1">ModifyCode(G19)</f>
        <v>#NAME?</v>
      </c>
      <c r="B19" s="12" t="str">
        <f ca="1">ModifyCode(H19)</f>
        <v>#NAME?</v>
      </c>
      <c r="C19" s="13">
        <v>1</v>
      </c>
      <c r="D19" s="14" t="s">
        <v>220</v>
      </c>
      <c r="E19" s="15"/>
      <c r="F19" s="15"/>
      <c r="G19" s="16" t="s">
        <v>38</v>
      </c>
      <c r="H19" s="16" t="s">
        <v>41</v>
      </c>
    </row>
    <row r="20">
      <c r="A20" s="12" t="str">
        <f ca="1">ModifyCode(G20)</f>
        <v>#NAME?</v>
      </c>
      <c r="B20" s="12" t="str">
        <f ca="1">ModifyCode(H20)</f>
        <v>#NAME?</v>
      </c>
      <c r="C20" s="13">
        <v>0.14399999999999999</v>
      </c>
      <c r="D20" s="14" t="s">
        <v>222</v>
      </c>
      <c r="E20" s="15"/>
      <c r="F20" s="15"/>
      <c r="G20" s="16" t="s">
        <v>41</v>
      </c>
      <c r="H20" s="16" t="s">
        <v>27</v>
      </c>
    </row>
    <row r="21">
      <c r="A21" s="12" t="str">
        <f ca="1">ModifyCode(G21)</f>
        <v>#NAME?</v>
      </c>
      <c r="B21" s="12" t="str">
        <f ca="1">ModifyCode(H21)</f>
        <v>#NAME?</v>
      </c>
      <c r="C21" s="13">
        <v>1</v>
      </c>
      <c r="D21" s="14" t="s">
        <v>220</v>
      </c>
      <c r="E21" s="15"/>
      <c r="F21" s="15"/>
      <c r="G21" s="16" t="s">
        <v>38</v>
      </c>
      <c r="H21" s="16" t="s">
        <v>42</v>
      </c>
    </row>
    <row r="22">
      <c r="A22" s="12" t="str">
        <f ca="1">ModifyCode(G22)</f>
        <v>#NAME?</v>
      </c>
      <c r="B22" s="12" t="str">
        <f ca="1">ModifyCode(H22)</f>
        <v>#NAME?</v>
      </c>
      <c r="C22" s="13">
        <v>0.45600000000000002</v>
      </c>
      <c r="D22" s="14" t="s">
        <v>222</v>
      </c>
      <c r="E22" s="15"/>
      <c r="F22" s="15"/>
      <c r="G22" s="16" t="s">
        <v>42</v>
      </c>
      <c r="H22" s="16" t="s">
        <v>27</v>
      </c>
    </row>
    <row r="23">
      <c r="A23" s="12" t="str">
        <f ca="1">ModifyCode(G23)</f>
        <v>#NAME?</v>
      </c>
      <c r="B23" s="12" t="str">
        <f ca="1">ModifyCode(H23)</f>
        <v>#NAME?</v>
      </c>
      <c r="C23" s="13">
        <v>1</v>
      </c>
      <c r="D23" s="14" t="s">
        <v>220</v>
      </c>
      <c r="E23" s="15"/>
      <c r="F23" s="15"/>
      <c r="G23" s="16" t="s">
        <v>16</v>
      </c>
      <c r="H23" s="16" t="s">
        <v>44</v>
      </c>
    </row>
    <row r="24">
      <c r="A24" s="12" t="str">
        <f ca="1">ModifyCode(G24)</f>
        <v>#NAME?</v>
      </c>
      <c r="B24" s="12" t="str">
        <f ca="1">ModifyCode(H24)</f>
        <v>#NAME?</v>
      </c>
      <c r="C24" s="13">
        <v>1</v>
      </c>
      <c r="D24" s="14" t="s">
        <v>220</v>
      </c>
      <c r="E24" s="15"/>
      <c r="F24" s="15"/>
      <c r="G24" s="16" t="s">
        <v>44</v>
      </c>
      <c r="H24" s="16" t="s">
        <v>46</v>
      </c>
    </row>
    <row r="25">
      <c r="A25" s="12" t="str">
        <f ca="1">ModifyCode(G25)</f>
        <v>#NAME?</v>
      </c>
      <c r="B25" s="12" t="str">
        <f ca="1">ModifyCode(H25)</f>
        <v>#NAME?</v>
      </c>
      <c r="C25" s="13">
        <v>0.121</v>
      </c>
      <c r="D25" s="14" t="s">
        <v>221</v>
      </c>
      <c r="E25" s="15"/>
      <c r="F25" s="15"/>
      <c r="G25" s="16" t="s">
        <v>46</v>
      </c>
      <c r="H25" s="16" t="s">
        <v>22</v>
      </c>
    </row>
    <row r="26">
      <c r="A26" s="12" t="str">
        <f ca="1">ModifyCode(G26)</f>
        <v>#NAME?</v>
      </c>
      <c r="B26" s="12" t="str">
        <f ca="1">ModifyCode(H26)</f>
        <v>#NAME?</v>
      </c>
      <c r="C26" s="13">
        <v>1</v>
      </c>
      <c r="D26" s="14" t="s">
        <v>220</v>
      </c>
      <c r="E26" s="15"/>
      <c r="F26" s="15"/>
      <c r="G26" s="16" t="s">
        <v>44</v>
      </c>
      <c r="H26" s="16" t="s">
        <v>47</v>
      </c>
    </row>
    <row r="27">
      <c r="A27" s="12" t="str">
        <f ca="1">ModifyCode(G27)</f>
        <v>#NAME?</v>
      </c>
      <c r="B27" s="12" t="str">
        <f ca="1">ModifyCode(H27)</f>
        <v>#NAME?</v>
      </c>
      <c r="C27" s="13">
        <v>0.83999999999999997</v>
      </c>
      <c r="D27" s="14" t="s">
        <v>222</v>
      </c>
      <c r="E27" s="15"/>
      <c r="F27" s="15"/>
      <c r="G27" s="16" t="s">
        <v>47</v>
      </c>
      <c r="H27" s="16" t="s">
        <v>27</v>
      </c>
    </row>
    <row r="28">
      <c r="A28" s="12" t="str">
        <f ca="1">ModifyCode(G28)</f>
        <v>#NAME?</v>
      </c>
      <c r="B28" s="12" t="str">
        <f ca="1">ModifyCode(H28)</f>
        <v>#NAME?</v>
      </c>
      <c r="C28" s="13">
        <v>1</v>
      </c>
      <c r="D28" s="14" t="s">
        <v>220</v>
      </c>
      <c r="E28" s="15"/>
      <c r="F28" s="15"/>
      <c r="G28" s="16" t="s">
        <v>16</v>
      </c>
      <c r="H28" s="16" t="s">
        <v>49</v>
      </c>
    </row>
    <row r="29">
      <c r="A29" s="12" t="str">
        <f ca="1">ModifyCode(G29)</f>
        <v>#NAME?</v>
      </c>
      <c r="B29" s="12" t="str">
        <f ca="1">ModifyCode(H29)</f>
        <v>#NAME?</v>
      </c>
      <c r="C29" s="13">
        <v>1</v>
      </c>
      <c r="D29" s="14" t="s">
        <v>220</v>
      </c>
      <c r="E29" s="15"/>
      <c r="F29" s="15"/>
      <c r="G29" s="16" t="s">
        <v>49</v>
      </c>
      <c r="H29" s="16" t="s">
        <v>52</v>
      </c>
    </row>
    <row r="30">
      <c r="A30" s="12" t="str">
        <f ca="1">ModifyCode(G30)</f>
        <v>#NAME?</v>
      </c>
      <c r="B30" s="12" t="str">
        <f ca="1">ModifyCode(H30)</f>
        <v>#NAME?</v>
      </c>
      <c r="C30" s="13">
        <v>0.39600000000000002</v>
      </c>
      <c r="D30" s="14" t="s">
        <v>221</v>
      </c>
      <c r="E30" s="15"/>
      <c r="F30" s="15"/>
      <c r="G30" s="16" t="s">
        <v>52</v>
      </c>
      <c r="H30" s="16" t="s">
        <v>51</v>
      </c>
    </row>
    <row r="31">
      <c r="A31" s="12" t="str">
        <f ca="1">ModifyCode(G31)</f>
        <v>#NAME?</v>
      </c>
      <c r="B31" s="12" t="str">
        <f ca="1">ModifyCode(H31)</f>
        <v>#NAME?</v>
      </c>
      <c r="C31" s="13">
        <v>1</v>
      </c>
      <c r="D31" s="14" t="s">
        <v>220</v>
      </c>
      <c r="E31" s="15"/>
      <c r="F31" s="15"/>
      <c r="G31" s="16" t="s">
        <v>16</v>
      </c>
      <c r="H31" s="16" t="s">
        <v>56</v>
      </c>
    </row>
    <row r="32">
      <c r="A32" s="12" t="str">
        <f ca="1">ModifyCode(G32)</f>
        <v>#NAME?</v>
      </c>
      <c r="B32" s="12" t="str">
        <f ca="1">ModifyCode(H32)</f>
        <v>#NAME?</v>
      </c>
      <c r="C32" s="13">
        <v>1</v>
      </c>
      <c r="D32" s="14" t="s">
        <v>220</v>
      </c>
      <c r="E32" s="15"/>
      <c r="F32" s="15"/>
      <c r="G32" s="16" t="s">
        <v>16</v>
      </c>
      <c r="H32" s="16" t="s">
        <v>56</v>
      </c>
    </row>
    <row r="33">
      <c r="A33" s="12" t="str">
        <f ca="1">ModifyCode(G33)</f>
        <v>#NAME?</v>
      </c>
      <c r="B33" s="12" t="str">
        <f ca="1">ModifyCode(H33)</f>
        <v>#NAME?</v>
      </c>
      <c r="C33" s="13">
        <v>8</v>
      </c>
      <c r="D33" s="14" t="s">
        <v>220</v>
      </c>
      <c r="E33" s="15"/>
      <c r="F33" s="15"/>
      <c r="G33" s="16" t="s">
        <v>16</v>
      </c>
      <c r="H33" s="16" t="s">
        <v>59</v>
      </c>
    </row>
    <row r="34">
      <c r="A34" s="12" t="str">
        <f ca="1">ModifyCode(G34)</f>
        <v>#NAME?</v>
      </c>
      <c r="B34" s="12" t="str">
        <f ca="1">ModifyCode(H34)</f>
        <v>#NAME?</v>
      </c>
      <c r="C34" s="13">
        <v>8</v>
      </c>
      <c r="D34" s="14" t="s">
        <v>220</v>
      </c>
      <c r="E34" s="15"/>
      <c r="F34" s="15"/>
      <c r="G34" s="16" t="s">
        <v>16</v>
      </c>
      <c r="H34" s="16" t="s">
        <v>61</v>
      </c>
    </row>
    <row r="35">
      <c r="A35" s="12" t="str">
        <f ca="1">ModifyCode(G35)</f>
        <v>#NAME?</v>
      </c>
      <c r="B35" s="12" t="str">
        <f ca="1">ModifyCode(H35)</f>
        <v>#NAME?</v>
      </c>
      <c r="C35" s="13">
        <v>1</v>
      </c>
      <c r="D35" s="14" t="s">
        <v>220</v>
      </c>
      <c r="E35" s="15"/>
      <c r="F35" s="15"/>
      <c r="G35" s="16" t="s">
        <v>14</v>
      </c>
      <c r="H35" s="16" t="s">
        <v>63</v>
      </c>
    </row>
    <row r="36">
      <c r="A36" s="12" t="str">
        <f ca="1">ModifyCode(G36)</f>
        <v>#NAME?</v>
      </c>
      <c r="B36" s="12" t="str">
        <f ca="1">ModifyCode(H36)</f>
        <v>#NAME?</v>
      </c>
      <c r="C36" s="13">
        <v>1</v>
      </c>
      <c r="D36" s="14" t="s">
        <v>220</v>
      </c>
      <c r="E36" s="15"/>
      <c r="F36" s="15"/>
      <c r="G36" s="16" t="s">
        <v>63</v>
      </c>
      <c r="H36" s="16" t="s">
        <v>65</v>
      </c>
    </row>
    <row r="37">
      <c r="A37" s="12" t="str">
        <f ca="1">ModifyCode(G37)</f>
        <v>#NAME?</v>
      </c>
      <c r="B37" s="12" t="str">
        <f ca="1">ModifyCode(H37)</f>
        <v>#NAME?</v>
      </c>
      <c r="C37" s="13">
        <v>0.68799999999999994</v>
      </c>
      <c r="D37" s="14" t="s">
        <v>221</v>
      </c>
      <c r="E37" s="15"/>
      <c r="F37" s="15"/>
      <c r="G37" s="16" t="s">
        <v>65</v>
      </c>
      <c r="H37" s="16" t="s">
        <v>22</v>
      </c>
    </row>
    <row r="38">
      <c r="A38" s="12" t="str">
        <f ca="1">ModifyCode(G38)</f>
        <v>#NAME?</v>
      </c>
      <c r="B38" s="12" t="str">
        <f ca="1">ModifyCode(H38)</f>
        <v>#NAME?</v>
      </c>
      <c r="C38" s="13">
        <v>1</v>
      </c>
      <c r="D38" s="14" t="s">
        <v>220</v>
      </c>
      <c r="E38" s="15"/>
      <c r="F38" s="15"/>
      <c r="G38" s="16" t="s">
        <v>63</v>
      </c>
      <c r="H38" s="16" t="s">
        <v>66</v>
      </c>
    </row>
    <row r="39">
      <c r="A39" s="12" t="str">
        <f ca="1">ModifyCode(G39)</f>
        <v>#NAME?</v>
      </c>
      <c r="B39" s="12" t="str">
        <f ca="1">ModifyCode(H39)</f>
        <v>#NAME?</v>
      </c>
      <c r="C39" s="13">
        <v>0.372</v>
      </c>
      <c r="D39" s="14" t="s">
        <v>222</v>
      </c>
      <c r="E39" s="15"/>
      <c r="F39" s="15"/>
      <c r="G39" s="16" t="s">
        <v>66</v>
      </c>
      <c r="H39" s="16" t="s">
        <v>27</v>
      </c>
    </row>
    <row r="40">
      <c r="A40" s="12" t="str">
        <f ca="1">ModifyCode(G40)</f>
        <v>#NAME?</v>
      </c>
      <c r="B40" s="12" t="str">
        <f ca="1">ModifyCode(H40)</f>
        <v>#NAME?</v>
      </c>
      <c r="C40" s="13">
        <v>1</v>
      </c>
      <c r="D40" s="14" t="s">
        <v>220</v>
      </c>
      <c r="E40" s="15"/>
      <c r="F40" s="15"/>
      <c r="G40" s="16" t="s">
        <v>63</v>
      </c>
      <c r="H40" s="16" t="s">
        <v>67</v>
      </c>
    </row>
    <row r="41">
      <c r="A41" s="12" t="str">
        <f ca="1">ModifyCode(G41)</f>
        <v>#NAME?</v>
      </c>
      <c r="B41" s="12" t="str">
        <f ca="1">ModifyCode(H41)</f>
        <v>#NAME?</v>
      </c>
      <c r="C41" s="13">
        <v>0.372</v>
      </c>
      <c r="D41" s="14" t="s">
        <v>222</v>
      </c>
      <c r="E41" s="15"/>
      <c r="F41" s="15"/>
      <c r="G41" s="16" t="s">
        <v>67</v>
      </c>
      <c r="H41" s="16" t="s">
        <v>27</v>
      </c>
    </row>
    <row r="42">
      <c r="A42" s="12" t="str">
        <f ca="1">ModifyCode(G42)</f>
        <v>#NAME?</v>
      </c>
      <c r="B42" s="12" t="str">
        <f ca="1">ModifyCode(H42)</f>
        <v>#NAME?</v>
      </c>
      <c r="C42" s="13">
        <v>1</v>
      </c>
      <c r="D42" s="14" t="s">
        <v>220</v>
      </c>
      <c r="E42" s="15"/>
      <c r="F42" s="15"/>
      <c r="G42" s="16" t="s">
        <v>14</v>
      </c>
      <c r="H42" s="16" t="s">
        <v>69</v>
      </c>
    </row>
    <row r="43">
      <c r="A43" s="12" t="str">
        <f ca="1">ModifyCode(G43)</f>
        <v>#NAME?</v>
      </c>
      <c r="B43" s="12" t="str">
        <f ca="1">ModifyCode(H43)</f>
        <v>#NAME?</v>
      </c>
      <c r="C43" s="13">
        <v>1</v>
      </c>
      <c r="D43" s="14" t="s">
        <v>220</v>
      </c>
      <c r="E43" s="15"/>
      <c r="F43" s="15"/>
      <c r="G43" s="16" t="s">
        <v>69</v>
      </c>
      <c r="H43" s="16" t="s">
        <v>71</v>
      </c>
    </row>
    <row r="44">
      <c r="A44" s="12" t="str">
        <f ca="1">ModifyCode(G44)</f>
        <v>#NAME?</v>
      </c>
      <c r="B44" s="12" t="str">
        <f ca="1">ModifyCode(H44)</f>
        <v>#NAME?</v>
      </c>
      <c r="C44" s="13">
        <v>0.38200000000000001</v>
      </c>
      <c r="D44" s="14" t="s">
        <v>221</v>
      </c>
      <c r="E44" s="15"/>
      <c r="F44" s="15"/>
      <c r="G44" s="16" t="s">
        <v>71</v>
      </c>
      <c r="H44" s="16" t="s">
        <v>22</v>
      </c>
    </row>
    <row r="45">
      <c r="A45" s="12" t="str">
        <f ca="1">ModifyCode(G45)</f>
        <v>#NAME?</v>
      </c>
      <c r="B45" s="12" t="str">
        <f ca="1">ModifyCode(H45)</f>
        <v>#NAME?</v>
      </c>
      <c r="C45" s="13">
        <v>1</v>
      </c>
      <c r="D45" s="14" t="s">
        <v>220</v>
      </c>
      <c r="E45" s="15"/>
      <c r="F45" s="15"/>
      <c r="G45" s="16" t="s">
        <v>14</v>
      </c>
      <c r="H45" s="16" t="s">
        <v>73</v>
      </c>
    </row>
    <row r="46">
      <c r="A46" s="12" t="str">
        <f ca="1">ModifyCode(G46)</f>
        <v>#NAME?</v>
      </c>
      <c r="B46" s="12" t="str">
        <f ca="1">ModifyCode(H46)</f>
        <v>#NAME?</v>
      </c>
      <c r="C46" s="13">
        <v>1</v>
      </c>
      <c r="D46" s="14" t="s">
        <v>220</v>
      </c>
      <c r="E46" s="15"/>
      <c r="F46" s="15"/>
      <c r="G46" s="16" t="s">
        <v>73</v>
      </c>
      <c r="H46" s="16" t="s">
        <v>75</v>
      </c>
    </row>
    <row r="47">
      <c r="A47" s="12" t="str">
        <f ca="1">ModifyCode(G47)</f>
        <v>#NAME?</v>
      </c>
      <c r="B47" s="12" t="str">
        <f ca="1">ModifyCode(H47)</f>
        <v>#NAME?</v>
      </c>
      <c r="C47" s="13">
        <v>0.18099999999999999</v>
      </c>
      <c r="D47" s="14" t="s">
        <v>221</v>
      </c>
      <c r="E47" s="15"/>
      <c r="F47" s="15"/>
      <c r="G47" s="16" t="s">
        <v>75</v>
      </c>
      <c r="H47" s="16" t="s">
        <v>22</v>
      </c>
    </row>
    <row r="48">
      <c r="A48" s="12" t="str">
        <f ca="1">ModifyCode(G48)</f>
        <v>#NAME?</v>
      </c>
      <c r="B48" s="12" t="str">
        <f ca="1">ModifyCode(H48)</f>
        <v>#NAME?</v>
      </c>
      <c r="C48" s="13">
        <v>1</v>
      </c>
      <c r="D48" s="14" t="s">
        <v>220</v>
      </c>
      <c r="E48" s="15"/>
      <c r="F48" s="15"/>
      <c r="G48" s="16" t="s">
        <v>73</v>
      </c>
      <c r="H48" s="16" t="s">
        <v>76</v>
      </c>
    </row>
    <row r="49">
      <c r="A49" s="12" t="str">
        <f ca="1">ModifyCode(G49)</f>
        <v>#NAME?</v>
      </c>
      <c r="B49" s="12" t="str">
        <f ca="1">ModifyCode(H49)</f>
        <v>#NAME?</v>
      </c>
      <c r="C49" s="13">
        <v>0.372</v>
      </c>
      <c r="D49" s="14" t="s">
        <v>222</v>
      </c>
      <c r="E49" s="15"/>
      <c r="F49" s="15"/>
      <c r="G49" s="16" t="s">
        <v>76</v>
      </c>
      <c r="H49" s="16" t="s">
        <v>27</v>
      </c>
    </row>
    <row r="50">
      <c r="A50" s="12" t="str">
        <f ca="1">ModifyCode(G50)</f>
        <v>#NAME?</v>
      </c>
      <c r="B50" s="12" t="str">
        <f ca="1">ModifyCode(H50)</f>
        <v>#NAME?</v>
      </c>
      <c r="C50" s="13">
        <v>1</v>
      </c>
      <c r="D50" s="14" t="s">
        <v>220</v>
      </c>
      <c r="E50" s="15"/>
      <c r="F50" s="15"/>
      <c r="G50" s="16" t="s">
        <v>14</v>
      </c>
      <c r="H50" s="16" t="s">
        <v>78</v>
      </c>
    </row>
    <row r="51">
      <c r="A51" s="12" t="str">
        <f ca="1">ModifyCode(G51)</f>
        <v>#NAME?</v>
      </c>
      <c r="B51" s="12" t="str">
        <f ca="1">ModifyCode(H51)</f>
        <v>#NAME?</v>
      </c>
      <c r="C51" s="13">
        <v>1</v>
      </c>
      <c r="D51" s="14" t="s">
        <v>220</v>
      </c>
      <c r="E51" s="15"/>
      <c r="F51" s="15"/>
      <c r="G51" s="16" t="s">
        <v>78</v>
      </c>
      <c r="H51" s="16" t="s">
        <v>80</v>
      </c>
    </row>
    <row r="52">
      <c r="A52" s="12" t="str">
        <f ca="1">ModifyCode(G52)</f>
        <v>#NAME?</v>
      </c>
      <c r="B52" s="12" t="str">
        <f ca="1">ModifyCode(H52)</f>
        <v>#NAME?</v>
      </c>
      <c r="C52" s="13">
        <v>0.090999999999999998</v>
      </c>
      <c r="D52" s="14" t="s">
        <v>221</v>
      </c>
      <c r="E52" s="15"/>
      <c r="F52" s="15"/>
      <c r="G52" s="16" t="s">
        <v>80</v>
      </c>
      <c r="H52" s="16" t="s">
        <v>22</v>
      </c>
    </row>
    <row r="53">
      <c r="A53" s="12" t="str">
        <f ca="1">ModifyCode(G53)</f>
        <v>#NAME?</v>
      </c>
      <c r="B53" s="12" t="str">
        <f ca="1">ModifyCode(H53)</f>
        <v>#NAME?</v>
      </c>
      <c r="C53" s="13">
        <v>1</v>
      </c>
      <c r="D53" s="14" t="s">
        <v>220</v>
      </c>
      <c r="E53" s="15"/>
      <c r="F53" s="15"/>
      <c r="G53" s="16" t="s">
        <v>14</v>
      </c>
      <c r="H53" s="16" t="s">
        <v>82</v>
      </c>
    </row>
    <row r="54">
      <c r="A54" s="12" t="str">
        <f ca="1">ModifyCode(G54)</f>
        <v>#NAME?</v>
      </c>
      <c r="B54" s="12" t="str">
        <f ca="1">ModifyCode(H54)</f>
        <v>#NAME?</v>
      </c>
      <c r="C54" s="13">
        <v>1</v>
      </c>
      <c r="D54" s="14" t="s">
        <v>220</v>
      </c>
      <c r="E54" s="15"/>
      <c r="F54" s="15"/>
      <c r="G54" s="16" t="s">
        <v>82</v>
      </c>
      <c r="H54" s="16" t="s">
        <v>84</v>
      </c>
    </row>
    <row r="55">
      <c r="A55" s="12" t="str">
        <f ca="1">ModifyCode(G55)</f>
        <v>#NAME?</v>
      </c>
      <c r="B55" s="12" t="str">
        <f ca="1">ModifyCode(H55)</f>
        <v>#NAME?</v>
      </c>
      <c r="C55" s="13">
        <v>0.69699999999999995</v>
      </c>
      <c r="D55" s="14" t="s">
        <v>221</v>
      </c>
      <c r="E55" s="15"/>
      <c r="F55" s="15"/>
      <c r="G55" s="16" t="s">
        <v>84</v>
      </c>
      <c r="H55" s="16" t="s">
        <v>22</v>
      </c>
    </row>
    <row r="56">
      <c r="A56" s="12" t="str">
        <f ca="1">ModifyCode(G56)</f>
        <v>#NAME?</v>
      </c>
      <c r="B56" s="12" t="str">
        <f ca="1">ModifyCode(H56)</f>
        <v>#NAME?</v>
      </c>
      <c r="C56" s="13">
        <v>1</v>
      </c>
      <c r="D56" s="14" t="s">
        <v>220</v>
      </c>
      <c r="E56" s="15"/>
      <c r="F56" s="15"/>
      <c r="G56" s="16" t="s">
        <v>82</v>
      </c>
      <c r="H56" s="16" t="s">
        <v>85</v>
      </c>
    </row>
    <row r="57">
      <c r="A57" s="12" t="str">
        <f ca="1">ModifyCode(G57)</f>
        <v>#NAME?</v>
      </c>
      <c r="B57" s="12" t="str">
        <f ca="1">ModifyCode(H57)</f>
        <v>#NAME?</v>
      </c>
      <c r="C57" s="13">
        <v>0.504</v>
      </c>
      <c r="D57" s="14" t="s">
        <v>222</v>
      </c>
      <c r="E57" s="15"/>
      <c r="F57" s="15"/>
      <c r="G57" s="16" t="s">
        <v>85</v>
      </c>
      <c r="H57" s="16" t="s">
        <v>27</v>
      </c>
    </row>
    <row r="58">
      <c r="A58" s="12" t="str">
        <f ca="1">ModifyCode(G58)</f>
        <v>#NAME?</v>
      </c>
      <c r="B58" s="12" t="str">
        <f ca="1">ModifyCode(H58)</f>
        <v>#NAME?</v>
      </c>
      <c r="C58" s="13">
        <v>1</v>
      </c>
      <c r="D58" s="14" t="s">
        <v>220</v>
      </c>
      <c r="E58" s="15"/>
      <c r="F58" s="15"/>
      <c r="G58" s="16" t="s">
        <v>82</v>
      </c>
      <c r="H58" s="16" t="s">
        <v>86</v>
      </c>
    </row>
    <row r="59">
      <c r="A59" s="12" t="str">
        <f ca="1">ModifyCode(G59)</f>
        <v>#NAME?</v>
      </c>
      <c r="B59" s="12" t="str">
        <f ca="1">ModifyCode(H59)</f>
        <v>#NAME?</v>
      </c>
      <c r="C59" s="13">
        <v>1.4099999999999999</v>
      </c>
      <c r="D59" s="14" t="s">
        <v>222</v>
      </c>
      <c r="E59" s="15"/>
      <c r="F59" s="15"/>
      <c r="G59" s="16" t="s">
        <v>86</v>
      </c>
      <c r="H59" s="16" t="s">
        <v>27</v>
      </c>
    </row>
    <row r="60">
      <c r="A60" s="12" t="str">
        <f ca="1">ModifyCode(G60)</f>
        <v>#NAME?</v>
      </c>
      <c r="B60" s="12" t="str">
        <f ca="1">ModifyCode(H60)</f>
        <v>#NAME?</v>
      </c>
      <c r="C60" s="13">
        <v>1</v>
      </c>
      <c r="D60" s="14" t="s">
        <v>220</v>
      </c>
      <c r="E60" s="15"/>
      <c r="F60" s="15"/>
      <c r="G60" s="16" t="s">
        <v>82</v>
      </c>
      <c r="H60" s="16" t="s">
        <v>87</v>
      </c>
    </row>
    <row r="61">
      <c r="A61" s="12" t="str">
        <f ca="1">ModifyCode(G61)</f>
        <v>#NAME?</v>
      </c>
      <c r="B61" s="12" t="str">
        <f ca="1">ModifyCode(H61)</f>
        <v>#NAME?</v>
      </c>
      <c r="C61" s="13">
        <v>0.50800000000000001</v>
      </c>
      <c r="D61" s="14" t="s">
        <v>222</v>
      </c>
      <c r="E61" s="15"/>
      <c r="F61" s="15"/>
      <c r="G61" s="16" t="s">
        <v>87</v>
      </c>
      <c r="H61" s="16" t="s">
        <v>27</v>
      </c>
    </row>
    <row r="62">
      <c r="A62" s="12" t="str">
        <f ca="1">ModifyCode(G62)</f>
        <v>#NAME?</v>
      </c>
      <c r="B62" s="12" t="str">
        <f ca="1">ModifyCode(H62)</f>
        <v>#NAME?</v>
      </c>
      <c r="C62" s="13">
        <v>1</v>
      </c>
      <c r="D62" s="14" t="s">
        <v>220</v>
      </c>
      <c r="E62" s="15"/>
      <c r="F62" s="15"/>
      <c r="G62" s="16" t="s">
        <v>14</v>
      </c>
      <c r="H62" s="16" t="s">
        <v>89</v>
      </c>
    </row>
    <row r="63">
      <c r="A63" s="12" t="str">
        <f ca="1">ModifyCode(G63)</f>
        <v>#NAME?</v>
      </c>
      <c r="B63" s="12" t="str">
        <f ca="1">ModifyCode(H63)</f>
        <v>#NAME?</v>
      </c>
      <c r="C63" s="13">
        <v>1</v>
      </c>
      <c r="D63" s="14" t="s">
        <v>220</v>
      </c>
      <c r="E63" s="15"/>
      <c r="F63" s="15"/>
      <c r="G63" s="16" t="s">
        <v>89</v>
      </c>
      <c r="H63" s="16" t="s">
        <v>91</v>
      </c>
    </row>
    <row r="64">
      <c r="A64" s="12" t="str">
        <f ca="1">ModifyCode(G64)</f>
        <v>#NAME?</v>
      </c>
      <c r="B64" s="12" t="str">
        <f ca="1">ModifyCode(H64)</f>
        <v>#NAME?</v>
      </c>
      <c r="C64" s="13">
        <v>0.37</v>
      </c>
      <c r="D64" s="14" t="s">
        <v>221</v>
      </c>
      <c r="E64" s="15"/>
      <c r="F64" s="15"/>
      <c r="G64" s="16" t="s">
        <v>91</v>
      </c>
      <c r="H64" s="16" t="s">
        <v>22</v>
      </c>
    </row>
    <row r="65">
      <c r="A65" s="12" t="str">
        <f ca="1">ModifyCode(G65)</f>
        <v>#NAME?</v>
      </c>
      <c r="B65" s="12" t="str">
        <f ca="1">ModifyCode(H65)</f>
        <v>#NAME?</v>
      </c>
      <c r="C65" s="13">
        <v>1</v>
      </c>
      <c r="D65" s="14" t="s">
        <v>220</v>
      </c>
      <c r="E65" s="15"/>
      <c r="F65" s="15"/>
      <c r="G65" s="16" t="s">
        <v>89</v>
      </c>
      <c r="H65" s="16" t="s">
        <v>92</v>
      </c>
    </row>
    <row r="66">
      <c r="A66" s="12" t="str">
        <f ca="1">ModifyCode(G66)</f>
        <v>#NAME?</v>
      </c>
      <c r="B66" s="12" t="str">
        <f ca="1">ModifyCode(H66)</f>
        <v>#NAME?</v>
      </c>
      <c r="C66" s="13">
        <v>0.78700000000000003</v>
      </c>
      <c r="D66" s="14" t="s">
        <v>222</v>
      </c>
      <c r="E66" s="15"/>
      <c r="F66" s="15"/>
      <c r="G66" s="16" t="s">
        <v>92</v>
      </c>
      <c r="H66" s="16" t="s">
        <v>27</v>
      </c>
    </row>
    <row r="67">
      <c r="A67" s="12" t="str">
        <f ca="1">ModifyCode(G67)</f>
        <v>#NAME?</v>
      </c>
      <c r="B67" s="12" t="str">
        <f ca="1">ModifyCode(H67)</f>
        <v>#NAME?</v>
      </c>
      <c r="C67" s="13">
        <v>1</v>
      </c>
      <c r="D67" s="14" t="s">
        <v>220</v>
      </c>
      <c r="E67" s="15"/>
      <c r="F67" s="15"/>
      <c r="G67" s="16" t="s">
        <v>14</v>
      </c>
      <c r="H67" s="16" t="s">
        <v>94</v>
      </c>
    </row>
    <row r="68">
      <c r="A68" s="12" t="str">
        <f ca="1">ModifyCode(G68)</f>
        <v>#NAME?</v>
      </c>
      <c r="B68" s="12" t="str">
        <f ca="1">ModifyCode(H68)</f>
        <v>#NAME?</v>
      </c>
      <c r="C68" s="13">
        <v>1</v>
      </c>
      <c r="D68" s="14" t="s">
        <v>220</v>
      </c>
      <c r="E68" s="15"/>
      <c r="F68" s="15"/>
      <c r="G68" s="16" t="s">
        <v>94</v>
      </c>
      <c r="H68" s="16" t="s">
        <v>96</v>
      </c>
    </row>
    <row r="69">
      <c r="A69" s="12" t="str">
        <f ca="1">ModifyCode(G69)</f>
        <v>#NAME?</v>
      </c>
      <c r="B69" s="12" t="str">
        <f ca="1">ModifyCode(H69)</f>
        <v>#NAME?</v>
      </c>
      <c r="C69" s="13">
        <v>0.67200000000000004</v>
      </c>
      <c r="D69" s="14" t="s">
        <v>221</v>
      </c>
      <c r="E69" s="15"/>
      <c r="F69" s="15"/>
      <c r="G69" s="16" t="s">
        <v>96</v>
      </c>
      <c r="H69" s="16" t="s">
        <v>22</v>
      </c>
    </row>
    <row r="70">
      <c r="A70" s="12" t="str">
        <f ca="1">ModifyCode(G70)</f>
        <v>#NAME?</v>
      </c>
      <c r="B70" s="12" t="str">
        <f ca="1">ModifyCode(H70)</f>
        <v>#NAME?</v>
      </c>
      <c r="C70" s="13">
        <v>1</v>
      </c>
      <c r="D70" s="14" t="s">
        <v>220</v>
      </c>
      <c r="E70" s="15"/>
      <c r="F70" s="15"/>
      <c r="G70" s="16" t="s">
        <v>94</v>
      </c>
      <c r="H70" s="16" t="s">
        <v>97</v>
      </c>
    </row>
    <row r="71">
      <c r="A71" s="12" t="str">
        <f ca="1">ModifyCode(G71)</f>
        <v>#NAME?</v>
      </c>
      <c r="B71" s="12" t="str">
        <f ca="1">ModifyCode(H71)</f>
        <v>#NAME?</v>
      </c>
      <c r="C71" s="13">
        <v>0.48999999999999999</v>
      </c>
      <c r="D71" s="14" t="s">
        <v>222</v>
      </c>
      <c r="E71" s="15"/>
      <c r="F71" s="15"/>
      <c r="G71" s="16" t="s">
        <v>97</v>
      </c>
      <c r="H71" s="16" t="s">
        <v>27</v>
      </c>
    </row>
    <row r="72">
      <c r="A72" s="12" t="str">
        <f ca="1">ModifyCode(G72)</f>
        <v>#NAME?</v>
      </c>
      <c r="B72" s="12" t="str">
        <f ca="1">ModifyCode(H72)</f>
        <v>#NAME?</v>
      </c>
      <c r="C72" s="13">
        <v>1</v>
      </c>
      <c r="D72" s="14" t="s">
        <v>220</v>
      </c>
      <c r="E72" s="15"/>
      <c r="F72" s="15"/>
      <c r="G72" s="16" t="s">
        <v>94</v>
      </c>
      <c r="H72" s="16" t="s">
        <v>98</v>
      </c>
    </row>
    <row r="73">
      <c r="A73" s="12" t="str">
        <f ca="1">ModifyCode(G73)</f>
        <v>#NAME?</v>
      </c>
      <c r="B73" s="12" t="str">
        <f ca="1">ModifyCode(H73)</f>
        <v>#NAME?</v>
      </c>
      <c r="C73" s="13">
        <v>0.48999999999999999</v>
      </c>
      <c r="D73" s="14" t="s">
        <v>222</v>
      </c>
      <c r="E73" s="15"/>
      <c r="F73" s="15"/>
      <c r="G73" s="16" t="s">
        <v>98</v>
      </c>
      <c r="H73" s="16" t="s">
        <v>27</v>
      </c>
    </row>
    <row r="74">
      <c r="A74" s="12" t="str">
        <f ca="1">ModifyCode(G74)</f>
        <v>#NAME?</v>
      </c>
      <c r="B74" s="12" t="str">
        <f ca="1">ModifyCode(H74)</f>
        <v>#NAME?</v>
      </c>
      <c r="C74" s="13">
        <v>1</v>
      </c>
      <c r="D74" s="14" t="s">
        <v>220</v>
      </c>
      <c r="E74" s="15"/>
      <c r="F74" s="15"/>
      <c r="G74" s="16" t="s">
        <v>14</v>
      </c>
      <c r="H74" s="16" t="s">
        <v>100</v>
      </c>
    </row>
    <row r="75">
      <c r="A75" s="12" t="str">
        <f ca="1">ModifyCode(G75)</f>
        <v>#NAME?</v>
      </c>
      <c r="B75" s="12" t="str">
        <f ca="1">ModifyCode(H75)</f>
        <v>#NAME?</v>
      </c>
      <c r="C75" s="13">
        <v>1</v>
      </c>
      <c r="D75" s="14" t="s">
        <v>220</v>
      </c>
      <c r="E75" s="15"/>
      <c r="F75" s="15"/>
      <c r="G75" s="16" t="s">
        <v>100</v>
      </c>
      <c r="H75" s="16" t="s">
        <v>102</v>
      </c>
    </row>
    <row r="76">
      <c r="A76" s="12" t="str">
        <f ca="1">ModifyCode(G76)</f>
        <v>#NAME?</v>
      </c>
      <c r="B76" s="12" t="str">
        <f ca="1">ModifyCode(H76)</f>
        <v>#NAME?</v>
      </c>
      <c r="C76" s="13">
        <v>0.373</v>
      </c>
      <c r="D76" s="14" t="s">
        <v>221</v>
      </c>
      <c r="E76" s="15"/>
      <c r="F76" s="15"/>
      <c r="G76" s="16" t="s">
        <v>102</v>
      </c>
      <c r="H76" s="16" t="s">
        <v>22</v>
      </c>
    </row>
    <row r="77">
      <c r="A77" s="12" t="str">
        <f ca="1">ModifyCode(G77)</f>
        <v>#NAME?</v>
      </c>
      <c r="B77" s="12" t="str">
        <f ca="1">ModifyCode(H77)</f>
        <v>#NAME?</v>
      </c>
      <c r="C77" s="13">
        <v>1</v>
      </c>
      <c r="D77" s="14" t="s">
        <v>220</v>
      </c>
      <c r="E77" s="15"/>
      <c r="F77" s="15"/>
      <c r="G77" s="16" t="s">
        <v>14</v>
      </c>
      <c r="H77" s="16" t="s">
        <v>104</v>
      </c>
    </row>
    <row r="78">
      <c r="A78" s="12" t="str">
        <f ca="1">ModifyCode(G78)</f>
        <v>#NAME?</v>
      </c>
      <c r="B78" s="12" t="str">
        <f ca="1">ModifyCode(H78)</f>
        <v>#NAME?</v>
      </c>
      <c r="C78" s="13">
        <v>1</v>
      </c>
      <c r="D78" s="14" t="s">
        <v>220</v>
      </c>
      <c r="E78" s="15"/>
      <c r="F78" s="15"/>
      <c r="G78" s="16" t="s">
        <v>104</v>
      </c>
      <c r="H78" s="16" t="s">
        <v>106</v>
      </c>
    </row>
    <row r="79">
      <c r="A79" s="12" t="str">
        <f ca="1">ModifyCode(G79)</f>
        <v>#NAME?</v>
      </c>
      <c r="B79" s="12" t="str">
        <f ca="1">ModifyCode(H79)</f>
        <v>#NAME?</v>
      </c>
      <c r="C79" s="13">
        <v>0.37</v>
      </c>
      <c r="D79" s="14" t="s">
        <v>221</v>
      </c>
      <c r="E79" s="15"/>
      <c r="F79" s="15"/>
      <c r="G79" s="16" t="s">
        <v>106</v>
      </c>
      <c r="H79" s="16" t="s">
        <v>22</v>
      </c>
    </row>
    <row r="80">
      <c r="A80" s="12" t="str">
        <f ca="1">ModifyCode(G80)</f>
        <v>#NAME?</v>
      </c>
      <c r="B80" s="12" t="str">
        <f ca="1">ModifyCode(H80)</f>
        <v>#NAME?</v>
      </c>
      <c r="C80" s="13">
        <v>1</v>
      </c>
      <c r="D80" s="14" t="s">
        <v>220</v>
      </c>
      <c r="E80" s="15"/>
      <c r="F80" s="15"/>
      <c r="G80" s="16" t="s">
        <v>104</v>
      </c>
      <c r="H80" s="16" t="s">
        <v>107</v>
      </c>
    </row>
    <row r="81">
      <c r="A81" s="12" t="str">
        <f ca="1">ModifyCode(G81)</f>
        <v>#NAME?</v>
      </c>
      <c r="B81" s="12" t="str">
        <f ca="1">ModifyCode(H81)</f>
        <v>#NAME?</v>
      </c>
      <c r="C81" s="13">
        <v>0.78700000000000003</v>
      </c>
      <c r="D81" s="14" t="s">
        <v>222</v>
      </c>
      <c r="E81" s="15"/>
      <c r="F81" s="15"/>
      <c r="G81" s="16" t="s">
        <v>107</v>
      </c>
      <c r="H81" s="16" t="s">
        <v>27</v>
      </c>
    </row>
    <row r="82">
      <c r="A82" s="12" t="str">
        <f ca="1">ModifyCode(G82)</f>
        <v>#NAME?</v>
      </c>
      <c r="B82" s="12" t="str">
        <f ca="1">ModifyCode(H82)</f>
        <v>#NAME?</v>
      </c>
      <c r="C82" s="13">
        <v>1</v>
      </c>
      <c r="D82" s="14" t="s">
        <v>220</v>
      </c>
      <c r="E82" s="15"/>
      <c r="F82" s="15"/>
      <c r="G82" s="16" t="s">
        <v>14</v>
      </c>
      <c r="H82" s="16" t="s">
        <v>109</v>
      </c>
    </row>
    <row r="83">
      <c r="A83" s="12" t="str">
        <f ca="1">ModifyCode(G83)</f>
        <v>#NAME?</v>
      </c>
      <c r="B83" s="12" t="str">
        <f ca="1">ModifyCode(H83)</f>
        <v>#NAME?</v>
      </c>
      <c r="C83" s="13">
        <v>1</v>
      </c>
      <c r="D83" s="14" t="s">
        <v>220</v>
      </c>
      <c r="E83" s="15"/>
      <c r="F83" s="15"/>
      <c r="G83" s="16" t="s">
        <v>109</v>
      </c>
      <c r="H83" s="16" t="s">
        <v>111</v>
      </c>
    </row>
    <row r="84">
      <c r="A84" s="12" t="str">
        <f ca="1">ModifyCode(G84)</f>
        <v>#NAME?</v>
      </c>
      <c r="B84" s="12" t="str">
        <f ca="1">ModifyCode(H84)</f>
        <v>#NAME?</v>
      </c>
      <c r="C84" s="13">
        <v>0.13300000000000001</v>
      </c>
      <c r="D84" s="14" t="s">
        <v>221</v>
      </c>
      <c r="E84" s="15"/>
      <c r="F84" s="15"/>
      <c r="G84" s="16" t="s">
        <v>111</v>
      </c>
      <c r="H84" s="16" t="s">
        <v>22</v>
      </c>
    </row>
    <row r="85">
      <c r="A85" s="12" t="str">
        <f ca="1">ModifyCode(G85)</f>
        <v>#NAME?</v>
      </c>
      <c r="B85" s="12" t="str">
        <f ca="1">ModifyCode(H85)</f>
        <v>#NAME?</v>
      </c>
      <c r="C85" s="13">
        <v>1</v>
      </c>
      <c r="D85" s="14" t="s">
        <v>220</v>
      </c>
      <c r="E85" s="15"/>
      <c r="F85" s="15"/>
      <c r="G85" s="16" t="s">
        <v>109</v>
      </c>
      <c r="H85" s="16" t="s">
        <v>112</v>
      </c>
    </row>
    <row r="86">
      <c r="A86" s="12" t="str">
        <f ca="1">ModifyCode(G86)</f>
        <v>#NAME?</v>
      </c>
      <c r="B86" s="12" t="str">
        <f ca="1">ModifyCode(H86)</f>
        <v>#NAME?</v>
      </c>
      <c r="C86" s="13">
        <v>1.9099999999999999</v>
      </c>
      <c r="D86" s="14" t="s">
        <v>222</v>
      </c>
      <c r="E86" s="15"/>
      <c r="F86" s="15"/>
      <c r="G86" s="16" t="s">
        <v>112</v>
      </c>
      <c r="H86" s="16" t="s">
        <v>27</v>
      </c>
    </row>
    <row r="87">
      <c r="A87" s="12" t="str">
        <f ca="1">ModifyCode(G87)</f>
        <v>#NAME?</v>
      </c>
      <c r="B87" s="12" t="str">
        <f ca="1">ModifyCode(H87)</f>
        <v>#NAME?</v>
      </c>
      <c r="C87" s="13">
        <v>1</v>
      </c>
      <c r="D87" s="14" t="s">
        <v>220</v>
      </c>
      <c r="E87" s="15"/>
      <c r="F87" s="15"/>
      <c r="G87" s="16" t="s">
        <v>109</v>
      </c>
      <c r="H87" s="16" t="s">
        <v>113</v>
      </c>
    </row>
    <row r="88">
      <c r="A88" s="12" t="str">
        <f ca="1">ModifyCode(G88)</f>
        <v>#NAME?</v>
      </c>
      <c r="B88" s="12" t="str">
        <f ca="1">ModifyCode(H88)</f>
        <v>#NAME?</v>
      </c>
      <c r="C88" s="13">
        <v>0.080000000000000002</v>
      </c>
      <c r="D88" s="14" t="s">
        <v>222</v>
      </c>
      <c r="E88" s="15"/>
      <c r="F88" s="15"/>
      <c r="G88" s="16" t="s">
        <v>113</v>
      </c>
      <c r="H88" s="16" t="s">
        <v>27</v>
      </c>
    </row>
    <row r="89">
      <c r="A89" s="12" t="str">
        <f ca="1">ModifyCode(G89)</f>
        <v>#NAME?</v>
      </c>
      <c r="B89" s="12" t="str">
        <f ca="1">ModifyCode(H89)</f>
        <v>#NAME?</v>
      </c>
      <c r="C89" s="13">
        <v>1</v>
      </c>
      <c r="D89" s="14" t="s">
        <v>220</v>
      </c>
      <c r="E89" s="15"/>
      <c r="F89" s="15"/>
      <c r="G89" s="16" t="s">
        <v>109</v>
      </c>
      <c r="H89" s="16" t="s">
        <v>114</v>
      </c>
    </row>
    <row r="90">
      <c r="A90" s="12" t="str">
        <f ca="1">ModifyCode(G90)</f>
        <v>#NAME?</v>
      </c>
      <c r="B90" s="12" t="str">
        <f ca="1">ModifyCode(H90)</f>
        <v>#NAME?</v>
      </c>
      <c r="C90" s="13">
        <v>1.9099999999999999</v>
      </c>
      <c r="D90" s="14" t="s">
        <v>222</v>
      </c>
      <c r="E90" s="15"/>
      <c r="F90" s="15"/>
      <c r="G90" s="16" t="s">
        <v>114</v>
      </c>
      <c r="H90" s="16" t="s">
        <v>27</v>
      </c>
    </row>
    <row r="91">
      <c r="A91" s="12" t="str">
        <f ca="1">ModifyCode(G91)</f>
        <v>#NAME?</v>
      </c>
      <c r="B91" s="12" t="str">
        <f ca="1">ModifyCode(H91)</f>
        <v>#NAME?</v>
      </c>
      <c r="C91" s="13">
        <v>1</v>
      </c>
      <c r="D91" s="14" t="s">
        <v>220</v>
      </c>
      <c r="E91" s="15"/>
      <c r="F91" s="15"/>
      <c r="G91" s="16" t="s">
        <v>109</v>
      </c>
      <c r="H91" s="16" t="s">
        <v>115</v>
      </c>
    </row>
    <row r="92">
      <c r="A92" s="12" t="str">
        <f ca="1">ModifyCode(G92)</f>
        <v>#NAME?</v>
      </c>
      <c r="B92" s="12" t="str">
        <f ca="1">ModifyCode(H92)</f>
        <v>#NAME?</v>
      </c>
      <c r="C92" s="13">
        <v>0.080000000000000002</v>
      </c>
      <c r="D92" s="14" t="s">
        <v>222</v>
      </c>
      <c r="E92" s="15"/>
      <c r="F92" s="15"/>
      <c r="G92" s="16" t="s">
        <v>115</v>
      </c>
      <c r="H92" s="16" t="s">
        <v>27</v>
      </c>
    </row>
    <row r="93">
      <c r="A93" s="12" t="str">
        <f ca="1">ModifyCode(G93)</f>
        <v>#NAME?</v>
      </c>
      <c r="B93" s="12" t="str">
        <f ca="1">ModifyCode(H93)</f>
        <v>#NAME?</v>
      </c>
      <c r="C93" s="13">
        <v>1</v>
      </c>
      <c r="D93" s="14" t="s">
        <v>220</v>
      </c>
      <c r="E93" s="15"/>
      <c r="F93" s="15"/>
      <c r="G93" s="16" t="s">
        <v>14</v>
      </c>
      <c r="H93" s="16" t="s">
        <v>117</v>
      </c>
    </row>
    <row r="94">
      <c r="A94" s="12" t="str">
        <f ca="1">ModifyCode(G94)</f>
        <v>#NAME?</v>
      </c>
      <c r="B94" s="12" t="str">
        <f ca="1">ModifyCode(H94)</f>
        <v>#NAME?</v>
      </c>
      <c r="C94" s="13">
        <v>1</v>
      </c>
      <c r="D94" s="14" t="s">
        <v>220</v>
      </c>
      <c r="E94" s="15"/>
      <c r="F94" s="15"/>
      <c r="G94" s="16" t="s">
        <v>117</v>
      </c>
      <c r="H94" s="16" t="s">
        <v>119</v>
      </c>
    </row>
    <row r="95">
      <c r="A95" s="12" t="str">
        <f ca="1">ModifyCode(G95)</f>
        <v>#NAME?</v>
      </c>
      <c r="B95" s="12" t="str">
        <f ca="1">ModifyCode(H95)</f>
        <v>#NAME?</v>
      </c>
      <c r="C95" s="13">
        <v>0.066000000000000003</v>
      </c>
      <c r="D95" s="14" t="s">
        <v>221</v>
      </c>
      <c r="E95" s="15"/>
      <c r="F95" s="15"/>
      <c r="G95" s="16" t="s">
        <v>119</v>
      </c>
      <c r="H95" s="16" t="s">
        <v>22</v>
      </c>
    </row>
    <row r="96">
      <c r="A96" s="12" t="str">
        <f ca="1">ModifyCode(G96)</f>
        <v>#NAME?</v>
      </c>
      <c r="B96" s="12" t="str">
        <f ca="1">ModifyCode(H96)</f>
        <v>#NAME?</v>
      </c>
      <c r="C96" s="13">
        <v>1</v>
      </c>
      <c r="D96" s="14" t="s">
        <v>220</v>
      </c>
      <c r="E96" s="15"/>
      <c r="F96" s="15"/>
      <c r="G96" s="16" t="s">
        <v>117</v>
      </c>
      <c r="H96" s="16" t="s">
        <v>120</v>
      </c>
    </row>
    <row r="97">
      <c r="A97" s="12" t="str">
        <f ca="1">ModifyCode(G97)</f>
        <v>#NAME?</v>
      </c>
      <c r="B97" s="12" t="str">
        <f ca="1">ModifyCode(H97)</f>
        <v>#NAME?</v>
      </c>
      <c r="C97" s="13">
        <v>0.95999999999999996</v>
      </c>
      <c r="D97" s="14" t="s">
        <v>222</v>
      </c>
      <c r="E97" s="15"/>
      <c r="F97" s="15"/>
      <c r="G97" s="16" t="s">
        <v>120</v>
      </c>
      <c r="H97" s="16" t="s">
        <v>27</v>
      </c>
    </row>
    <row r="98">
      <c r="A98" s="12" t="str">
        <f ca="1">ModifyCode(G98)</f>
        <v>#NAME?</v>
      </c>
      <c r="B98" s="12" t="str">
        <f ca="1">ModifyCode(H98)</f>
        <v>#NAME?</v>
      </c>
      <c r="C98" s="13">
        <v>1</v>
      </c>
      <c r="D98" s="14" t="s">
        <v>220</v>
      </c>
      <c r="E98" s="15"/>
      <c r="F98" s="15"/>
      <c r="G98" s="16" t="s">
        <v>117</v>
      </c>
      <c r="H98" s="16" t="s">
        <v>121</v>
      </c>
    </row>
    <row r="99">
      <c r="A99" s="12" t="str">
        <f ca="1">ModifyCode(G99)</f>
        <v>#NAME?</v>
      </c>
      <c r="B99" s="12" t="str">
        <f ca="1">ModifyCode(H99)</f>
        <v>#NAME?</v>
      </c>
      <c r="C99" s="13">
        <v>0.95999999999999996</v>
      </c>
      <c r="D99" s="14" t="s">
        <v>222</v>
      </c>
      <c r="E99" s="15"/>
      <c r="F99" s="15"/>
      <c r="G99" s="16" t="s">
        <v>121</v>
      </c>
      <c r="H99" s="16" t="s">
        <v>27</v>
      </c>
    </row>
    <row r="100">
      <c r="A100" s="12" t="str">
        <f ca="1">ModifyCode(G100)</f>
        <v>#NAME?</v>
      </c>
      <c r="B100" s="12" t="str">
        <f ca="1">ModifyCode(H100)</f>
        <v>#NAME?</v>
      </c>
      <c r="C100" s="13">
        <v>1</v>
      </c>
      <c r="D100" s="14" t="s">
        <v>220</v>
      </c>
      <c r="E100" s="15"/>
      <c r="F100" s="15"/>
      <c r="G100" s="16" t="s">
        <v>14</v>
      </c>
      <c r="H100" s="16" t="s">
        <v>123</v>
      </c>
    </row>
    <row r="101">
      <c r="A101" s="12" t="str">
        <f ca="1">ModifyCode(G101)</f>
        <v>#NAME?</v>
      </c>
      <c r="B101" s="12" t="str">
        <f ca="1">ModifyCode(H101)</f>
        <v>#NAME?</v>
      </c>
      <c r="C101" s="13">
        <v>1</v>
      </c>
      <c r="D101" s="14" t="s">
        <v>220</v>
      </c>
      <c r="E101" s="15"/>
      <c r="F101" s="15"/>
      <c r="G101" s="16" t="s">
        <v>123</v>
      </c>
      <c r="H101" s="16" t="s">
        <v>125</v>
      </c>
    </row>
    <row r="102">
      <c r="A102" s="12" t="str">
        <f ca="1">ModifyCode(G102)</f>
        <v>#NAME?</v>
      </c>
      <c r="B102" s="12" t="str">
        <f ca="1">ModifyCode(H102)</f>
        <v>#NAME?</v>
      </c>
      <c r="C102" s="13">
        <v>0.035000000000000003</v>
      </c>
      <c r="D102" s="14" t="s">
        <v>221</v>
      </c>
      <c r="E102" s="15"/>
      <c r="F102" s="15"/>
      <c r="G102" s="16" t="s">
        <v>125</v>
      </c>
      <c r="H102" s="16" t="s">
        <v>22</v>
      </c>
    </row>
    <row r="103">
      <c r="A103" s="12" t="str">
        <f ca="1">ModifyCode(G103)</f>
        <v>#NAME?</v>
      </c>
      <c r="B103" s="12" t="str">
        <f ca="1">ModifyCode(H103)</f>
        <v>#NAME?</v>
      </c>
      <c r="C103" s="13">
        <v>1</v>
      </c>
      <c r="D103" s="14" t="s">
        <v>220</v>
      </c>
      <c r="E103" s="15"/>
      <c r="F103" s="15"/>
      <c r="G103" s="16" t="s">
        <v>123</v>
      </c>
      <c r="H103" s="16" t="s">
        <v>126</v>
      </c>
    </row>
    <row r="104">
      <c r="A104" s="12" t="str">
        <f ca="1">ModifyCode(G104)</f>
        <v>#NAME?</v>
      </c>
      <c r="B104" s="12" t="str">
        <f ca="1">ModifyCode(H104)</f>
        <v>#NAME?</v>
      </c>
      <c r="C104" s="13">
        <v>0.51000000000000001</v>
      </c>
      <c r="D104" s="14" t="s">
        <v>222</v>
      </c>
      <c r="E104" s="15"/>
      <c r="F104" s="15"/>
      <c r="G104" s="16" t="s">
        <v>126</v>
      </c>
      <c r="H104" s="16" t="s">
        <v>27</v>
      </c>
    </row>
    <row r="105">
      <c r="A105" s="12" t="str">
        <f ca="1">ModifyCode(G105)</f>
        <v>#NAME?</v>
      </c>
      <c r="B105" s="12" t="str">
        <f ca="1">ModifyCode(H105)</f>
        <v>#NAME?</v>
      </c>
      <c r="C105" s="13">
        <v>1</v>
      </c>
      <c r="D105" s="14" t="s">
        <v>220</v>
      </c>
      <c r="E105" s="15"/>
      <c r="F105" s="15"/>
      <c r="G105" s="16" t="s">
        <v>123</v>
      </c>
      <c r="H105" s="16" t="s">
        <v>127</v>
      </c>
    </row>
    <row r="106">
      <c r="A106" s="12" t="str">
        <f ca="1">ModifyCode(G106)</f>
        <v>#NAME?</v>
      </c>
      <c r="B106" s="12" t="str">
        <f ca="1">ModifyCode(H106)</f>
        <v>#NAME?</v>
      </c>
      <c r="C106" s="13">
        <v>0.080000000000000002</v>
      </c>
      <c r="D106" s="14" t="s">
        <v>222</v>
      </c>
      <c r="E106" s="15"/>
      <c r="F106" s="15"/>
      <c r="G106" s="16" t="s">
        <v>127</v>
      </c>
      <c r="H106" s="16" t="s">
        <v>27</v>
      </c>
    </row>
    <row r="107">
      <c r="A107" s="12" t="str">
        <f ca="1">ModifyCode(G107)</f>
        <v>#NAME?</v>
      </c>
      <c r="B107" s="12" t="str">
        <f ca="1">ModifyCode(H107)</f>
        <v>#NAME?</v>
      </c>
      <c r="C107" s="13">
        <v>1</v>
      </c>
      <c r="D107" s="14" t="s">
        <v>220</v>
      </c>
      <c r="E107" s="15"/>
      <c r="F107" s="15"/>
      <c r="G107" s="16" t="s">
        <v>123</v>
      </c>
      <c r="H107" s="16" t="s">
        <v>128</v>
      </c>
    </row>
    <row r="108">
      <c r="A108" s="12" t="str">
        <f ca="1">ModifyCode(G108)</f>
        <v>#NAME?</v>
      </c>
      <c r="B108" s="12" t="str">
        <f ca="1">ModifyCode(H108)</f>
        <v>#NAME?</v>
      </c>
      <c r="C108" s="13">
        <v>0.51000000000000001</v>
      </c>
      <c r="D108" s="14" t="s">
        <v>222</v>
      </c>
      <c r="E108" s="15"/>
      <c r="F108" s="15"/>
      <c r="G108" s="16" t="s">
        <v>128</v>
      </c>
      <c r="H108" s="16" t="s">
        <v>27</v>
      </c>
    </row>
    <row r="109">
      <c r="A109" s="12" t="str">
        <f ca="1">ModifyCode(G109)</f>
        <v>#NAME?</v>
      </c>
      <c r="B109" s="12" t="str">
        <f ca="1">ModifyCode(H109)</f>
        <v>#NAME?</v>
      </c>
      <c r="C109" s="13">
        <v>1</v>
      </c>
      <c r="D109" s="14" t="s">
        <v>220</v>
      </c>
      <c r="E109" s="15"/>
      <c r="F109" s="15"/>
      <c r="G109" s="16" t="s">
        <v>14</v>
      </c>
      <c r="H109" s="16" t="s">
        <v>130</v>
      </c>
    </row>
    <row r="110">
      <c r="A110" s="12" t="str">
        <f ca="1">ModifyCode(G110)</f>
        <v>#NAME?</v>
      </c>
      <c r="B110" s="12" t="str">
        <f ca="1">ModifyCode(H110)</f>
        <v>#NAME?</v>
      </c>
      <c r="C110" s="13">
        <v>1</v>
      </c>
      <c r="D110" s="14" t="s">
        <v>220</v>
      </c>
      <c r="E110" s="15"/>
      <c r="F110" s="15"/>
      <c r="G110" s="16" t="s">
        <v>130</v>
      </c>
      <c r="H110" s="16" t="s">
        <v>132</v>
      </c>
    </row>
    <row r="111">
      <c r="A111" s="12" t="str">
        <f ca="1">ModifyCode(G111)</f>
        <v>#NAME?</v>
      </c>
      <c r="B111" s="12" t="str">
        <f ca="1">ModifyCode(H111)</f>
        <v>#NAME?</v>
      </c>
      <c r="C111" s="13">
        <v>0.014</v>
      </c>
      <c r="D111" s="14" t="s">
        <v>221</v>
      </c>
      <c r="E111" s="15"/>
      <c r="F111" s="15"/>
      <c r="G111" s="16" t="s">
        <v>132</v>
      </c>
      <c r="H111" s="16" t="s">
        <v>22</v>
      </c>
    </row>
    <row r="112">
      <c r="A112" s="12" t="str">
        <f ca="1">ModifyCode(G112)</f>
        <v>#NAME?</v>
      </c>
      <c r="B112" s="12" t="str">
        <f ca="1">ModifyCode(H112)</f>
        <v>#NAME?</v>
      </c>
      <c r="C112" s="13">
        <v>1</v>
      </c>
      <c r="D112" s="14" t="s">
        <v>220</v>
      </c>
      <c r="E112" s="15"/>
      <c r="F112" s="15"/>
      <c r="G112" s="16" t="s">
        <v>130</v>
      </c>
      <c r="H112" s="16" t="s">
        <v>133</v>
      </c>
    </row>
    <row r="113">
      <c r="A113" s="12" t="str">
        <f ca="1">ModifyCode(G113)</f>
        <v>#NAME?</v>
      </c>
      <c r="B113" s="12" t="str">
        <f ca="1">ModifyCode(H113)</f>
        <v>#NAME?</v>
      </c>
      <c r="C113" s="13">
        <v>0.20999999999999999</v>
      </c>
      <c r="D113" s="14" t="s">
        <v>222</v>
      </c>
      <c r="E113" s="15"/>
      <c r="F113" s="15"/>
      <c r="G113" s="16" t="s">
        <v>133</v>
      </c>
      <c r="H113" s="16" t="s">
        <v>27</v>
      </c>
    </row>
    <row r="114">
      <c r="A114" s="12" t="str">
        <f ca="1">ModifyCode(G114)</f>
        <v>#NAME?</v>
      </c>
      <c r="B114" s="12" t="str">
        <f ca="1">ModifyCode(H114)</f>
        <v>#NAME?</v>
      </c>
      <c r="C114" s="13">
        <v>1</v>
      </c>
      <c r="D114" s="14" t="s">
        <v>220</v>
      </c>
      <c r="E114" s="15"/>
      <c r="F114" s="15"/>
      <c r="G114" s="16" t="s">
        <v>130</v>
      </c>
      <c r="H114" s="16" t="s">
        <v>134</v>
      </c>
    </row>
    <row r="115">
      <c r="A115" s="12" t="str">
        <f ca="1">ModifyCode(G115)</f>
        <v>#NAME?</v>
      </c>
      <c r="B115" s="12" t="str">
        <f ca="1">ModifyCode(H115)</f>
        <v>#NAME?</v>
      </c>
      <c r="C115" s="13">
        <v>0.20999999999999999</v>
      </c>
      <c r="D115" s="14" t="s">
        <v>222</v>
      </c>
      <c r="E115" s="15"/>
      <c r="F115" s="15"/>
      <c r="G115" s="16" t="s">
        <v>134</v>
      </c>
      <c r="H115" s="16" t="s">
        <v>27</v>
      </c>
    </row>
    <row r="116">
      <c r="A116" s="12" t="str">
        <f ca="1">ModifyCode(G116)</f>
        <v>#NAME?</v>
      </c>
      <c r="B116" s="12" t="str">
        <f ca="1">ModifyCode(H116)</f>
        <v>#NAME?</v>
      </c>
      <c r="C116" s="13">
        <v>1</v>
      </c>
      <c r="D116" s="14" t="s">
        <v>220</v>
      </c>
      <c r="E116" s="15"/>
      <c r="F116" s="15"/>
      <c r="G116" s="16" t="s">
        <v>14</v>
      </c>
      <c r="H116" s="16" t="s">
        <v>136</v>
      </c>
    </row>
    <row r="117">
      <c r="A117" s="12" t="str">
        <f ca="1">ModifyCode(G117)</f>
        <v>#NAME?</v>
      </c>
      <c r="B117" s="12" t="str">
        <f ca="1">ModifyCode(H117)</f>
        <v>#NAME?</v>
      </c>
      <c r="C117" s="13">
        <v>1</v>
      </c>
      <c r="D117" s="14" t="s">
        <v>220</v>
      </c>
      <c r="E117" s="15"/>
      <c r="F117" s="15"/>
      <c r="G117" s="16" t="s">
        <v>136</v>
      </c>
      <c r="H117" s="16" t="s">
        <v>138</v>
      </c>
    </row>
    <row r="118">
      <c r="A118" s="12" t="str">
        <f ca="1">ModifyCode(G118)</f>
        <v>#NAME?</v>
      </c>
      <c r="B118" s="12" t="str">
        <f ca="1">ModifyCode(H118)</f>
        <v>#NAME?</v>
      </c>
      <c r="C118" s="13">
        <v>0.098000000000000004</v>
      </c>
      <c r="D118" s="14" t="s">
        <v>221</v>
      </c>
      <c r="E118" s="15"/>
      <c r="F118" s="15"/>
      <c r="G118" s="16" t="s">
        <v>138</v>
      </c>
      <c r="H118" s="16" t="s">
        <v>22</v>
      </c>
    </row>
    <row r="119">
      <c r="A119" s="12" t="str">
        <f ca="1">ModifyCode(G119)</f>
        <v>#NAME?</v>
      </c>
      <c r="B119" s="12" t="str">
        <f ca="1">ModifyCode(H119)</f>
        <v>#NAME?</v>
      </c>
      <c r="C119" s="13">
        <v>1</v>
      </c>
      <c r="D119" s="14" t="s">
        <v>220</v>
      </c>
      <c r="E119" s="15"/>
      <c r="F119" s="15"/>
      <c r="G119" s="16" t="s">
        <v>136</v>
      </c>
      <c r="H119" s="16" t="s">
        <v>139</v>
      </c>
    </row>
    <row r="120">
      <c r="A120" s="12" t="str">
        <f ca="1">ModifyCode(G120)</f>
        <v>#NAME?</v>
      </c>
      <c r="B120" s="12" t="str">
        <f ca="1">ModifyCode(H120)</f>
        <v>#NAME?</v>
      </c>
      <c r="C120" s="13">
        <v>1.4099999999999999</v>
      </c>
      <c r="D120" s="14" t="s">
        <v>222</v>
      </c>
      <c r="E120" s="15"/>
      <c r="F120" s="15"/>
      <c r="G120" s="16" t="s">
        <v>139</v>
      </c>
      <c r="H120" s="16" t="s">
        <v>27</v>
      </c>
    </row>
    <row r="121">
      <c r="A121" s="12" t="str">
        <f ca="1">ModifyCode(G121)</f>
        <v>#NAME?</v>
      </c>
      <c r="B121" s="12" t="str">
        <f ca="1">ModifyCode(H121)</f>
        <v>#NAME?</v>
      </c>
      <c r="C121" s="13">
        <v>1</v>
      </c>
      <c r="D121" s="14" t="s">
        <v>220</v>
      </c>
      <c r="E121" s="15"/>
      <c r="F121" s="15"/>
      <c r="G121" s="16" t="s">
        <v>136</v>
      </c>
      <c r="H121" s="16" t="s">
        <v>140</v>
      </c>
    </row>
    <row r="122">
      <c r="A122" s="12" t="str">
        <f ca="1">ModifyCode(G122)</f>
        <v>#NAME?</v>
      </c>
      <c r="B122" s="12" t="str">
        <f ca="1">ModifyCode(H122)</f>
        <v>#NAME?</v>
      </c>
      <c r="C122" s="13">
        <v>0.080000000000000002</v>
      </c>
      <c r="D122" s="14" t="s">
        <v>222</v>
      </c>
      <c r="E122" s="15"/>
      <c r="F122" s="15"/>
      <c r="G122" s="16" t="s">
        <v>140</v>
      </c>
      <c r="H122" s="16" t="s">
        <v>27</v>
      </c>
    </row>
    <row r="123">
      <c r="A123" s="12" t="str">
        <f ca="1">ModifyCode(G123)</f>
        <v>#NAME?</v>
      </c>
      <c r="B123" s="12" t="str">
        <f ca="1">ModifyCode(H123)</f>
        <v>#NAME?</v>
      </c>
      <c r="C123" s="13">
        <v>1</v>
      </c>
      <c r="D123" s="14" t="s">
        <v>220</v>
      </c>
      <c r="E123" s="15"/>
      <c r="F123" s="15"/>
      <c r="G123" s="16" t="s">
        <v>136</v>
      </c>
      <c r="H123" s="16" t="s">
        <v>141</v>
      </c>
    </row>
    <row r="124">
      <c r="A124" s="12" t="str">
        <f ca="1">ModifyCode(G124)</f>
        <v>#NAME?</v>
      </c>
      <c r="B124" s="12" t="str">
        <f ca="1">ModifyCode(H124)</f>
        <v>#NAME?</v>
      </c>
      <c r="C124" s="13">
        <v>1.4099999999999999</v>
      </c>
      <c r="D124" s="14" t="s">
        <v>222</v>
      </c>
      <c r="E124" s="15"/>
      <c r="F124" s="15"/>
      <c r="G124" s="16" t="s">
        <v>141</v>
      </c>
      <c r="H124" s="16" t="s">
        <v>27</v>
      </c>
    </row>
    <row r="125">
      <c r="A125" s="12" t="str">
        <f ca="1">ModifyCode(G125)</f>
        <v>#NAME?</v>
      </c>
      <c r="B125" s="12" t="str">
        <f ca="1">ModifyCode(H125)</f>
        <v>#NAME?</v>
      </c>
      <c r="C125" s="13">
        <v>1</v>
      </c>
      <c r="D125" s="14" t="s">
        <v>220</v>
      </c>
      <c r="E125" s="15"/>
      <c r="F125" s="15"/>
      <c r="G125" s="16" t="s">
        <v>136</v>
      </c>
      <c r="H125" s="16" t="s">
        <v>142</v>
      </c>
    </row>
    <row r="126">
      <c r="A126" s="12" t="str">
        <f ca="1">ModifyCode(G126)</f>
        <v>#NAME?</v>
      </c>
      <c r="B126" s="12" t="str">
        <f ca="1">ModifyCode(H126)</f>
        <v>#NAME?</v>
      </c>
      <c r="C126" s="13">
        <v>0.080000000000000002</v>
      </c>
      <c r="D126" s="14" t="s">
        <v>222</v>
      </c>
      <c r="E126" s="15"/>
      <c r="F126" s="15"/>
      <c r="G126" s="16" t="s">
        <v>142</v>
      </c>
      <c r="H126" s="16" t="s">
        <v>27</v>
      </c>
    </row>
    <row r="127">
      <c r="A127" s="12" t="str">
        <f ca="1">ModifyCode(G127)</f>
        <v>#NAME?</v>
      </c>
      <c r="B127" s="12" t="str">
        <f ca="1">ModifyCode(H127)</f>
        <v>#NAME?</v>
      </c>
      <c r="C127" s="13">
        <v>1</v>
      </c>
      <c r="D127" s="14" t="s">
        <v>220</v>
      </c>
      <c r="E127" s="15"/>
      <c r="F127" s="15"/>
      <c r="G127" s="16" t="s">
        <v>14</v>
      </c>
      <c r="H127" s="16" t="s">
        <v>144</v>
      </c>
    </row>
    <row r="128">
      <c r="A128" s="12" t="str">
        <f ca="1">ModifyCode(G128)</f>
        <v>#NAME?</v>
      </c>
      <c r="B128" s="12" t="str">
        <f ca="1">ModifyCode(H128)</f>
        <v>#NAME?</v>
      </c>
      <c r="C128" s="13">
        <v>1</v>
      </c>
      <c r="D128" s="14" t="s">
        <v>220</v>
      </c>
      <c r="E128" s="15"/>
      <c r="F128" s="15"/>
      <c r="G128" s="16" t="s">
        <v>144</v>
      </c>
      <c r="H128" s="16" t="s">
        <v>146</v>
      </c>
    </row>
    <row r="129">
      <c r="A129" s="12" t="str">
        <f ca="1">ModifyCode(G129)</f>
        <v>#NAME?</v>
      </c>
      <c r="B129" s="12" t="str">
        <f ca="1">ModifyCode(H129)</f>
        <v>#NAME?</v>
      </c>
      <c r="C129" s="13">
        <v>0.050999999999999997</v>
      </c>
      <c r="D129" s="14" t="s">
        <v>221</v>
      </c>
      <c r="E129" s="15"/>
      <c r="F129" s="15"/>
      <c r="G129" s="16" t="s">
        <v>146</v>
      </c>
      <c r="H129" s="16" t="s">
        <v>22</v>
      </c>
    </row>
    <row r="130">
      <c r="A130" s="12" t="str">
        <f ca="1">ModifyCode(G130)</f>
        <v>#NAME?</v>
      </c>
      <c r="B130" s="12" t="str">
        <f ca="1">ModifyCode(H130)</f>
        <v>#NAME?</v>
      </c>
      <c r="C130" s="13">
        <v>1</v>
      </c>
      <c r="D130" s="14" t="s">
        <v>220</v>
      </c>
      <c r="E130" s="15"/>
      <c r="F130" s="15"/>
      <c r="G130" s="16" t="s">
        <v>144</v>
      </c>
      <c r="H130" s="16" t="s">
        <v>147</v>
      </c>
    </row>
    <row r="131">
      <c r="A131" s="12" t="str">
        <f ca="1">ModifyCode(G131)</f>
        <v>#NAME?</v>
      </c>
      <c r="B131" s="12" t="str">
        <f ca="1">ModifyCode(H131)</f>
        <v>#NAME?</v>
      </c>
      <c r="C131" s="13">
        <v>0.73499999999999999</v>
      </c>
      <c r="D131" s="14" t="s">
        <v>222</v>
      </c>
      <c r="E131" s="15"/>
      <c r="F131" s="15"/>
      <c r="G131" s="16" t="s">
        <v>147</v>
      </c>
      <c r="H131" s="16" t="s">
        <v>27</v>
      </c>
    </row>
    <row r="132">
      <c r="A132" s="12" t="str">
        <f ca="1">ModifyCode(G132)</f>
        <v>#NAME?</v>
      </c>
      <c r="B132" s="12" t="str">
        <f ca="1">ModifyCode(H132)</f>
        <v>#NAME?</v>
      </c>
      <c r="C132" s="13">
        <v>1</v>
      </c>
      <c r="D132" s="14" t="s">
        <v>220</v>
      </c>
      <c r="E132" s="15"/>
      <c r="F132" s="15"/>
      <c r="G132" s="16" t="s">
        <v>144</v>
      </c>
      <c r="H132" s="16" t="s">
        <v>148</v>
      </c>
    </row>
    <row r="133">
      <c r="A133" s="12" t="str">
        <f ca="1">ModifyCode(G133)</f>
        <v>#NAME?</v>
      </c>
      <c r="B133" s="12" t="str">
        <f ca="1">ModifyCode(H133)</f>
        <v>#NAME?</v>
      </c>
      <c r="C133" s="13">
        <v>0.73499999999999999</v>
      </c>
      <c r="D133" s="14" t="s">
        <v>222</v>
      </c>
      <c r="E133" s="15"/>
      <c r="F133" s="15"/>
      <c r="G133" s="16" t="s">
        <v>148</v>
      </c>
      <c r="H133" s="16" t="s">
        <v>27</v>
      </c>
    </row>
    <row r="134">
      <c r="A134" s="12" t="str">
        <f ca="1">ModifyCode(G134)</f>
        <v>#NAME?</v>
      </c>
      <c r="B134" s="12" t="str">
        <f ca="1">ModifyCode(H134)</f>
        <v>#NAME?</v>
      </c>
      <c r="C134" s="13">
        <v>1</v>
      </c>
      <c r="D134" s="14" t="s">
        <v>220</v>
      </c>
      <c r="E134" s="15"/>
      <c r="F134" s="15"/>
      <c r="G134" s="16" t="s">
        <v>14</v>
      </c>
      <c r="H134" s="16" t="s">
        <v>150</v>
      </c>
    </row>
    <row r="135">
      <c r="A135" s="12" t="str">
        <f ca="1">ModifyCode(G135)</f>
        <v>#NAME?</v>
      </c>
      <c r="B135" s="12" t="str">
        <f ca="1">ModifyCode(H135)</f>
        <v>#NAME?</v>
      </c>
      <c r="C135" s="13">
        <v>1</v>
      </c>
      <c r="D135" s="14" t="s">
        <v>220</v>
      </c>
      <c r="E135" s="15"/>
      <c r="F135" s="15"/>
      <c r="G135" s="16" t="s">
        <v>150</v>
      </c>
      <c r="H135" s="16" t="s">
        <v>152</v>
      </c>
    </row>
    <row r="136">
      <c r="A136" s="12" t="str">
        <f ca="1">ModifyCode(G136)</f>
        <v>#NAME?</v>
      </c>
      <c r="B136" s="12" t="str">
        <f ca="1">ModifyCode(H136)</f>
        <v>#NAME?</v>
      </c>
      <c r="C136" s="13">
        <v>0.37</v>
      </c>
      <c r="D136" s="14" t="s">
        <v>221</v>
      </c>
      <c r="E136" s="15"/>
      <c r="F136" s="15"/>
      <c r="G136" s="16" t="s">
        <v>152</v>
      </c>
      <c r="H136" s="16" t="s">
        <v>22</v>
      </c>
    </row>
    <row r="137">
      <c r="A137" s="12" t="str">
        <f ca="1">ModifyCode(G137)</f>
        <v>#NAME?</v>
      </c>
      <c r="B137" s="12" t="str">
        <f ca="1">ModifyCode(H137)</f>
        <v>#NAME?</v>
      </c>
      <c r="C137" s="13">
        <v>1</v>
      </c>
      <c r="D137" s="14" t="s">
        <v>220</v>
      </c>
      <c r="E137" s="15"/>
      <c r="F137" s="15"/>
      <c r="G137" s="16" t="s">
        <v>150</v>
      </c>
      <c r="H137" s="16" t="s">
        <v>153</v>
      </c>
    </row>
    <row r="138">
      <c r="A138" s="12" t="str">
        <f ca="1">ModifyCode(G138)</f>
        <v>#NAME?</v>
      </c>
      <c r="B138" s="12" t="str">
        <f ca="1">ModifyCode(H138)</f>
        <v>#NAME?</v>
      </c>
      <c r="C138" s="13">
        <v>0.78700000000000003</v>
      </c>
      <c r="D138" s="14" t="s">
        <v>222</v>
      </c>
      <c r="E138" s="15"/>
      <c r="F138" s="15"/>
      <c r="G138" s="16" t="s">
        <v>153</v>
      </c>
      <c r="H138" s="16" t="s">
        <v>27</v>
      </c>
    </row>
    <row r="139">
      <c r="A139" s="12" t="str">
        <f ca="1">ModifyCode(G139)</f>
        <v>#NAME?</v>
      </c>
      <c r="B139" s="12" t="str">
        <f ca="1">ModifyCode(H139)</f>
        <v>#NAME?</v>
      </c>
      <c r="C139" s="13">
        <v>1</v>
      </c>
      <c r="D139" s="14" t="s">
        <v>220</v>
      </c>
      <c r="E139" s="15"/>
      <c r="F139" s="15"/>
      <c r="G139" s="16" t="s">
        <v>14</v>
      </c>
      <c r="H139" s="16" t="s">
        <v>155</v>
      </c>
    </row>
    <row r="140">
      <c r="A140" s="12" t="str">
        <f ca="1">ModifyCode(G140)</f>
        <v>#NAME?</v>
      </c>
      <c r="B140" s="12" t="str">
        <f ca="1">ModifyCode(H140)</f>
        <v>#NAME?</v>
      </c>
      <c r="C140" s="13">
        <v>1</v>
      </c>
      <c r="D140" s="14" t="s">
        <v>220</v>
      </c>
      <c r="E140" s="15"/>
      <c r="F140" s="15"/>
      <c r="G140" s="16" t="s">
        <v>155</v>
      </c>
      <c r="H140" s="16" t="s">
        <v>157</v>
      </c>
    </row>
    <row r="141">
      <c r="A141" s="12" t="str">
        <f ca="1">ModifyCode(G141)</f>
        <v>#NAME?</v>
      </c>
      <c r="B141" s="12" t="str">
        <f ca="1">ModifyCode(H141)</f>
        <v>#NAME?</v>
      </c>
      <c r="C141" s="13">
        <v>0.28699999999999998</v>
      </c>
      <c r="D141" s="14" t="s">
        <v>221</v>
      </c>
      <c r="E141" s="15"/>
      <c r="F141" s="15"/>
      <c r="G141" s="16" t="s">
        <v>157</v>
      </c>
      <c r="H141" s="16" t="s">
        <v>22</v>
      </c>
    </row>
    <row r="142">
      <c r="A142" s="12" t="str">
        <f ca="1">ModifyCode(G142)</f>
        <v>#NAME?</v>
      </c>
      <c r="B142" s="12" t="str">
        <f ca="1">ModifyCode(H142)</f>
        <v>#NAME?</v>
      </c>
      <c r="C142" s="13">
        <v>1</v>
      </c>
      <c r="D142" s="14" t="s">
        <v>220</v>
      </c>
      <c r="E142" s="15"/>
      <c r="F142" s="15"/>
      <c r="G142" s="16" t="s">
        <v>155</v>
      </c>
      <c r="H142" s="16" t="s">
        <v>158</v>
      </c>
    </row>
    <row r="143">
      <c r="A143" s="12" t="str">
        <f ca="1">ModifyCode(G143)</f>
        <v>#NAME?</v>
      </c>
      <c r="B143" s="12" t="str">
        <f ca="1">ModifyCode(H143)</f>
        <v>#NAME?</v>
      </c>
      <c r="C143" s="13">
        <v>0.72899999999999998</v>
      </c>
      <c r="D143" s="14" t="s">
        <v>222</v>
      </c>
      <c r="E143" s="15"/>
      <c r="F143" s="15"/>
      <c r="G143" s="16" t="s">
        <v>158</v>
      </c>
      <c r="H143" s="16" t="s">
        <v>27</v>
      </c>
    </row>
    <row r="144">
      <c r="A144" s="12" t="str">
        <f ca="1">ModifyCode(G144)</f>
        <v>#NAME?</v>
      </c>
      <c r="B144" s="12" t="str">
        <f ca="1">ModifyCode(H144)</f>
        <v>#NAME?</v>
      </c>
      <c r="C144" s="13">
        <v>1</v>
      </c>
      <c r="D144" s="14" t="s">
        <v>220</v>
      </c>
      <c r="E144" s="15"/>
      <c r="F144" s="15"/>
      <c r="G144" s="16" t="s">
        <v>155</v>
      </c>
      <c r="H144" s="16" t="s">
        <v>159</v>
      </c>
    </row>
    <row r="145">
      <c r="A145" s="12" t="str">
        <f ca="1">ModifyCode(G145)</f>
        <v>#NAME?</v>
      </c>
      <c r="B145" s="12" t="str">
        <f ca="1">ModifyCode(H145)</f>
        <v>#NAME?</v>
      </c>
      <c r="C145" s="13">
        <v>0.41599999999999998</v>
      </c>
      <c r="D145" s="14" t="s">
        <v>222</v>
      </c>
      <c r="E145" s="15"/>
      <c r="F145" s="15"/>
      <c r="G145" s="16" t="s">
        <v>159</v>
      </c>
      <c r="H145" s="16" t="s">
        <v>27</v>
      </c>
    </row>
    <row r="146">
      <c r="A146" s="12" t="str">
        <f ca="1">ModifyCode(G146)</f>
        <v>#NAME?</v>
      </c>
      <c r="B146" s="12" t="str">
        <f ca="1">ModifyCode(H146)</f>
        <v>#NAME?</v>
      </c>
      <c r="C146" s="13">
        <v>1</v>
      </c>
      <c r="D146" s="14" t="s">
        <v>220</v>
      </c>
      <c r="E146" s="15"/>
      <c r="F146" s="15"/>
      <c r="G146" s="16" t="s">
        <v>155</v>
      </c>
      <c r="H146" s="16" t="s">
        <v>160</v>
      </c>
    </row>
    <row r="147">
      <c r="A147" s="12" t="str">
        <f ca="1">ModifyCode(G147)</f>
        <v>#NAME?</v>
      </c>
      <c r="B147" s="12" t="str">
        <f ca="1">ModifyCode(H147)</f>
        <v>#NAME?</v>
      </c>
      <c r="C147" s="13">
        <v>0.72899999999999998</v>
      </c>
      <c r="D147" s="14" t="s">
        <v>222</v>
      </c>
      <c r="E147" s="15"/>
      <c r="F147" s="15"/>
      <c r="G147" s="16" t="s">
        <v>160</v>
      </c>
      <c r="H147" s="16" t="s">
        <v>27</v>
      </c>
    </row>
    <row r="148">
      <c r="A148" s="12" t="str">
        <f ca="1">ModifyCode(G148)</f>
        <v>#NAME?</v>
      </c>
      <c r="B148" s="12" t="str">
        <f ca="1">ModifyCode(H148)</f>
        <v>#NAME?</v>
      </c>
      <c r="C148" s="13">
        <v>1</v>
      </c>
      <c r="D148" s="14" t="s">
        <v>220</v>
      </c>
      <c r="E148" s="15"/>
      <c r="F148" s="15"/>
      <c r="G148" s="16" t="s">
        <v>155</v>
      </c>
      <c r="H148" s="16" t="s">
        <v>161</v>
      </c>
    </row>
    <row r="149">
      <c r="A149" s="12" t="str">
        <f ca="1">ModifyCode(G149)</f>
        <v>#NAME?</v>
      </c>
      <c r="B149" s="12" t="str">
        <f ca="1">ModifyCode(H149)</f>
        <v>#NAME?</v>
      </c>
      <c r="C149" s="13">
        <v>0.41599999999999998</v>
      </c>
      <c r="D149" s="14" t="s">
        <v>222</v>
      </c>
      <c r="E149" s="15"/>
      <c r="F149" s="15"/>
      <c r="G149" s="16" t="s">
        <v>161</v>
      </c>
      <c r="H149" s="16" t="s">
        <v>27</v>
      </c>
    </row>
    <row r="150">
      <c r="A150" s="12" t="str">
        <f ca="1">ModifyCode(G150)</f>
        <v>#NAME?</v>
      </c>
      <c r="B150" s="12" t="str">
        <f ca="1">ModifyCode(H150)</f>
        <v>#NAME?</v>
      </c>
      <c r="C150" s="13">
        <v>1</v>
      </c>
      <c r="D150" s="14" t="s">
        <v>220</v>
      </c>
      <c r="E150" s="15"/>
      <c r="F150" s="15"/>
      <c r="G150" s="16" t="s">
        <v>14</v>
      </c>
      <c r="H150" s="16" t="s">
        <v>163</v>
      </c>
    </row>
    <row r="151">
      <c r="A151" s="12" t="str">
        <f ca="1">ModifyCode(G151)</f>
        <v>#NAME?</v>
      </c>
      <c r="B151" s="12" t="str">
        <f ca="1">ModifyCode(H151)</f>
        <v>#NAME?</v>
      </c>
      <c r="C151" s="13">
        <v>1</v>
      </c>
      <c r="D151" s="14" t="s">
        <v>220</v>
      </c>
      <c r="E151" s="15"/>
      <c r="F151" s="15"/>
      <c r="G151" s="16" t="s">
        <v>163</v>
      </c>
      <c r="H151" s="16" t="s">
        <v>165</v>
      </c>
    </row>
    <row r="152">
      <c r="A152" s="12" t="str">
        <f ca="1">ModifyCode(G152)</f>
        <v>#NAME?</v>
      </c>
      <c r="B152" s="12" t="str">
        <f ca="1">ModifyCode(H152)</f>
        <v>#NAME?</v>
      </c>
      <c r="C152" s="13">
        <v>0.089999999999999997</v>
      </c>
      <c r="D152" s="14" t="s">
        <v>221</v>
      </c>
      <c r="E152" s="15"/>
      <c r="F152" s="15"/>
      <c r="G152" s="16" t="s">
        <v>165</v>
      </c>
      <c r="H152" s="16" t="s">
        <v>22</v>
      </c>
    </row>
    <row r="153">
      <c r="A153" s="12" t="str">
        <f ca="1">ModifyCode(G153)</f>
        <v>#NAME?</v>
      </c>
      <c r="B153" s="12" t="str">
        <f ca="1">ModifyCode(H153)</f>
        <v>#NAME?</v>
      </c>
      <c r="C153" s="13">
        <v>1</v>
      </c>
      <c r="D153" s="14" t="s">
        <v>220</v>
      </c>
      <c r="E153" s="15"/>
      <c r="F153" s="15"/>
      <c r="G153" s="16" t="s">
        <v>163</v>
      </c>
      <c r="H153" s="16" t="s">
        <v>166</v>
      </c>
    </row>
    <row r="154">
      <c r="A154" s="12" t="str">
        <f ca="1">ModifyCode(G154)</f>
        <v>#NAME?</v>
      </c>
      <c r="B154" s="12" t="str">
        <f ca="1">ModifyCode(H154)</f>
        <v>#NAME?</v>
      </c>
      <c r="C154" s="13">
        <v>0.26200000000000001</v>
      </c>
      <c r="D154" s="14" t="s">
        <v>222</v>
      </c>
      <c r="E154" s="15"/>
      <c r="F154" s="15"/>
      <c r="G154" s="16" t="s">
        <v>166</v>
      </c>
      <c r="H154" s="16" t="s">
        <v>27</v>
      </c>
    </row>
    <row r="155">
      <c r="A155" s="12" t="str">
        <f ca="1">ModifyCode(G155)</f>
        <v>#NAME?</v>
      </c>
      <c r="B155" s="12" t="str">
        <f ca="1">ModifyCode(H155)</f>
        <v>#NAME?</v>
      </c>
      <c r="C155" s="13">
        <v>1</v>
      </c>
      <c r="D155" s="14" t="s">
        <v>220</v>
      </c>
      <c r="E155" s="15"/>
      <c r="F155" s="15"/>
      <c r="G155" s="16" t="s">
        <v>14</v>
      </c>
      <c r="H155" s="16" t="s">
        <v>168</v>
      </c>
    </row>
    <row r="156">
      <c r="A156" s="12" t="str">
        <f ca="1">ModifyCode(G156)</f>
        <v>#NAME?</v>
      </c>
      <c r="B156" s="12" t="str">
        <f ca="1">ModifyCode(H156)</f>
        <v>#NAME?</v>
      </c>
      <c r="C156" s="13">
        <v>1</v>
      </c>
      <c r="D156" s="14" t="s">
        <v>220</v>
      </c>
      <c r="E156" s="15"/>
      <c r="F156" s="15"/>
      <c r="G156" s="16" t="s">
        <v>168</v>
      </c>
      <c r="H156" s="16" t="s">
        <v>170</v>
      </c>
    </row>
    <row r="157">
      <c r="A157" s="12" t="str">
        <f ca="1">ModifyCode(G157)</f>
        <v>#NAME?</v>
      </c>
      <c r="B157" s="12" t="str">
        <f ca="1">ModifyCode(H157)</f>
        <v>#NAME?</v>
      </c>
      <c r="C157" s="13">
        <v>0.96199999999999997</v>
      </c>
      <c r="D157" s="14" t="s">
        <v>221</v>
      </c>
      <c r="E157" s="15"/>
      <c r="F157" s="15"/>
      <c r="G157" s="16" t="s">
        <v>170</v>
      </c>
      <c r="H157" s="16" t="s">
        <v>51</v>
      </c>
    </row>
    <row r="158">
      <c r="A158" s="12" t="str">
        <f ca="1">ModifyCode(G158)</f>
        <v>#NAME?</v>
      </c>
      <c r="B158" s="12" t="str">
        <f ca="1">ModifyCode(H158)</f>
        <v>#NAME?</v>
      </c>
      <c r="C158" s="13">
        <v>1</v>
      </c>
      <c r="D158" s="14" t="s">
        <v>220</v>
      </c>
      <c r="E158" s="15"/>
      <c r="F158" s="15"/>
      <c r="G158" s="16" t="s">
        <v>14</v>
      </c>
      <c r="H158" s="16" t="s">
        <v>172</v>
      </c>
    </row>
    <row r="159">
      <c r="A159" s="12" t="str">
        <f ca="1">ModifyCode(G159)</f>
        <v>#NAME?</v>
      </c>
      <c r="B159" s="12" t="str">
        <f ca="1">ModifyCode(H159)</f>
        <v>#NAME?</v>
      </c>
      <c r="C159" s="13">
        <v>1</v>
      </c>
      <c r="D159" s="14" t="s">
        <v>220</v>
      </c>
      <c r="E159" s="15"/>
      <c r="F159" s="15"/>
      <c r="G159" s="16" t="s">
        <v>172</v>
      </c>
      <c r="H159" s="16" t="s">
        <v>174</v>
      </c>
    </row>
    <row r="160">
      <c r="A160" s="12" t="str">
        <f ca="1">ModifyCode(G160)</f>
        <v>#NAME?</v>
      </c>
      <c r="B160" s="12" t="str">
        <f ca="1">ModifyCode(H160)</f>
        <v>#NAME?</v>
      </c>
      <c r="C160" s="13">
        <v>1.05</v>
      </c>
      <c r="D160" s="14" t="s">
        <v>221</v>
      </c>
      <c r="E160" s="15"/>
      <c r="F160" s="15"/>
      <c r="G160" s="16" t="s">
        <v>174</v>
      </c>
      <c r="H160" s="16" t="s">
        <v>51</v>
      </c>
    </row>
    <row r="161">
      <c r="A161" s="12" t="str">
        <f ca="1">ModifyCode(G161)</f>
        <v>#NAME?</v>
      </c>
      <c r="B161" s="12" t="str">
        <f ca="1">ModifyCode(H161)</f>
        <v>#NAME?</v>
      </c>
      <c r="C161" s="13">
        <v>4</v>
      </c>
      <c r="D161" s="14" t="s">
        <v>220</v>
      </c>
      <c r="E161" s="15"/>
      <c r="F161" s="15"/>
      <c r="G161" s="16" t="s">
        <v>14</v>
      </c>
      <c r="H161" s="16" t="s">
        <v>176</v>
      </c>
    </row>
    <row r="162">
      <c r="A162" s="12" t="str">
        <f ca="1">ModifyCode(G162)</f>
        <v>#NAME?</v>
      </c>
      <c r="B162" s="12" t="str">
        <f ca="1">ModifyCode(H162)</f>
        <v>#NAME?</v>
      </c>
      <c r="C162" s="13">
        <v>1</v>
      </c>
      <c r="D162" s="14" t="s">
        <v>220</v>
      </c>
      <c r="E162" s="15"/>
      <c r="F162" s="15"/>
      <c r="G162" s="16" t="s">
        <v>176</v>
      </c>
      <c r="H162" s="16" t="s">
        <v>178</v>
      </c>
    </row>
    <row r="163">
      <c r="A163" s="12" t="str">
        <f ca="1">ModifyCode(G163)</f>
        <v>#NAME?</v>
      </c>
      <c r="B163" s="12" t="str">
        <f ca="1">ModifyCode(H163)</f>
        <v>#NAME?</v>
      </c>
      <c r="C163" s="13">
        <v>0.159</v>
      </c>
      <c r="D163" s="14" t="s">
        <v>221</v>
      </c>
      <c r="E163" s="15"/>
      <c r="F163" s="15"/>
      <c r="G163" s="16" t="s">
        <v>178</v>
      </c>
      <c r="H163" s="16" t="s">
        <v>22</v>
      </c>
    </row>
    <row r="164">
      <c r="A164" s="12" t="str">
        <f ca="1">ModifyCode(G164)</f>
        <v>#NAME?</v>
      </c>
      <c r="B164" s="12" t="str">
        <f ca="1">ModifyCode(H164)</f>
        <v>#NAME?</v>
      </c>
      <c r="C164" s="13">
        <v>1</v>
      </c>
      <c r="D164" s="14" t="s">
        <v>220</v>
      </c>
      <c r="E164" s="15"/>
      <c r="F164" s="15"/>
      <c r="G164" s="16" t="s">
        <v>176</v>
      </c>
      <c r="H164" s="16" t="s">
        <v>179</v>
      </c>
    </row>
    <row r="165">
      <c r="A165" s="12" t="str">
        <f ca="1">ModifyCode(G165)</f>
        <v>#NAME?</v>
      </c>
      <c r="B165" s="12" t="str">
        <f ca="1">ModifyCode(H165)</f>
        <v>#NAME?</v>
      </c>
      <c r="C165" s="13">
        <v>0.188</v>
      </c>
      <c r="D165" s="14" t="s">
        <v>222</v>
      </c>
      <c r="E165" s="15"/>
      <c r="F165" s="15"/>
      <c r="G165" s="16" t="s">
        <v>179</v>
      </c>
      <c r="H165" s="16" t="s">
        <v>27</v>
      </c>
    </row>
    <row r="166">
      <c r="A166" s="12" t="str">
        <f ca="1">ModifyCode(G166)</f>
        <v>#NAME?</v>
      </c>
      <c r="B166" s="12" t="str">
        <f ca="1">ModifyCode(H166)</f>
        <v>#NAME?</v>
      </c>
      <c r="C166" s="13">
        <v>1</v>
      </c>
      <c r="D166" s="14" t="s">
        <v>220</v>
      </c>
      <c r="E166" s="15"/>
      <c r="F166" s="15"/>
      <c r="G166" s="16" t="s">
        <v>176</v>
      </c>
      <c r="H166" s="16" t="s">
        <v>180</v>
      </c>
    </row>
    <row r="167">
      <c r="A167" s="12" t="str">
        <f ca="1">ModifyCode(G167)</f>
        <v>#NAME?</v>
      </c>
      <c r="B167" s="12" t="str">
        <f ca="1">ModifyCode(H167)</f>
        <v>#NAME?</v>
      </c>
      <c r="C167" s="13">
        <v>0.92800000000000005</v>
      </c>
      <c r="D167" s="14" t="s">
        <v>222</v>
      </c>
      <c r="E167" s="15"/>
      <c r="F167" s="15"/>
      <c r="G167" s="16" t="s">
        <v>180</v>
      </c>
      <c r="H167" s="16" t="s">
        <v>27</v>
      </c>
    </row>
    <row r="168">
      <c r="A168" s="12" t="str">
        <f ca="1">ModifyCode(G168)</f>
        <v>#NAME?</v>
      </c>
      <c r="B168" s="12" t="str">
        <f ca="1">ModifyCode(H168)</f>
        <v>#NAME?</v>
      </c>
      <c r="C168" s="13">
        <v>1</v>
      </c>
      <c r="D168" s="14" t="s">
        <v>220</v>
      </c>
      <c r="E168" s="15"/>
      <c r="F168" s="15"/>
      <c r="G168" s="16" t="s">
        <v>176</v>
      </c>
      <c r="H168" s="16" t="s">
        <v>181</v>
      </c>
    </row>
    <row r="169">
      <c r="A169" s="12" t="str">
        <f ca="1">ModifyCode(G169)</f>
        <v>#NAME?</v>
      </c>
      <c r="B169" s="12" t="str">
        <f ca="1">ModifyCode(H169)</f>
        <v>#NAME?</v>
      </c>
      <c r="C169" s="13">
        <v>0.188</v>
      </c>
      <c r="D169" s="14" t="s">
        <v>222</v>
      </c>
      <c r="E169" s="15"/>
      <c r="F169" s="15"/>
      <c r="G169" s="16" t="s">
        <v>181</v>
      </c>
      <c r="H169" s="16" t="s">
        <v>27</v>
      </c>
    </row>
    <row r="170">
      <c r="A170" s="12" t="str">
        <f ca="1">ModifyCode(G170)</f>
        <v>#NAME?</v>
      </c>
      <c r="B170" s="12" t="str">
        <f ca="1">ModifyCode(H170)</f>
        <v>#NAME?</v>
      </c>
      <c r="C170" s="13">
        <v>1</v>
      </c>
      <c r="D170" s="14" t="s">
        <v>220</v>
      </c>
      <c r="E170" s="15"/>
      <c r="F170" s="15"/>
      <c r="G170" s="16" t="s">
        <v>176</v>
      </c>
      <c r="H170" s="16" t="s">
        <v>182</v>
      </c>
    </row>
    <row r="171">
      <c r="A171" s="12" t="str">
        <f ca="1">ModifyCode(G171)</f>
        <v>#NAME?</v>
      </c>
      <c r="B171" s="12" t="str">
        <f ca="1">ModifyCode(H171)</f>
        <v>#NAME?</v>
      </c>
      <c r="C171" s="13">
        <v>0.92800000000000005</v>
      </c>
      <c r="D171" s="14" t="s">
        <v>222</v>
      </c>
      <c r="E171" s="15"/>
      <c r="F171" s="15"/>
      <c r="G171" s="16" t="s">
        <v>182</v>
      </c>
      <c r="H171" s="16" t="s">
        <v>27</v>
      </c>
    </row>
    <row r="172">
      <c r="A172" s="12" t="str">
        <f ca="1">ModifyCode(G172)</f>
        <v>#NAME?</v>
      </c>
      <c r="B172" s="12" t="str">
        <f ca="1">ModifyCode(H172)</f>
        <v>#NAME?</v>
      </c>
      <c r="C172" s="13">
        <v>2</v>
      </c>
      <c r="D172" s="14" t="s">
        <v>220</v>
      </c>
      <c r="E172" s="15"/>
      <c r="F172" s="15"/>
      <c r="G172" s="16" t="s">
        <v>14</v>
      </c>
      <c r="H172" s="16" t="s">
        <v>184</v>
      </c>
    </row>
    <row r="173">
      <c r="A173" s="12" t="str">
        <f ca="1">ModifyCode(G173)</f>
        <v>#NAME?</v>
      </c>
      <c r="B173" s="12" t="str">
        <f ca="1">ModifyCode(H173)</f>
        <v>#NAME?</v>
      </c>
      <c r="C173" s="13">
        <v>1</v>
      </c>
      <c r="D173" s="14" t="s">
        <v>220</v>
      </c>
      <c r="E173" s="15"/>
      <c r="F173" s="15"/>
      <c r="G173" s="16" t="s">
        <v>184</v>
      </c>
      <c r="H173" s="16" t="s">
        <v>186</v>
      </c>
    </row>
    <row r="174">
      <c r="A174" s="12" t="str">
        <f ca="1">ModifyCode(G174)</f>
        <v>#NAME?</v>
      </c>
      <c r="B174" s="12" t="str">
        <f ca="1">ModifyCode(H174)</f>
        <v>#NAME?</v>
      </c>
      <c r="C174" s="13">
        <v>0.16800000000000001</v>
      </c>
      <c r="D174" s="14" t="s">
        <v>221</v>
      </c>
      <c r="E174" s="15"/>
      <c r="F174" s="15"/>
      <c r="G174" s="16" t="s">
        <v>186</v>
      </c>
      <c r="H174" s="16" t="s">
        <v>22</v>
      </c>
    </row>
    <row r="175">
      <c r="A175" s="12" t="str">
        <f ca="1">ModifyCode(G175)</f>
        <v>#NAME?</v>
      </c>
      <c r="B175" s="12" t="str">
        <f ca="1">ModifyCode(H175)</f>
        <v>#NAME?</v>
      </c>
      <c r="C175" s="13">
        <v>1</v>
      </c>
      <c r="D175" s="14" t="s">
        <v>220</v>
      </c>
      <c r="E175" s="15"/>
      <c r="F175" s="15"/>
      <c r="G175" s="16" t="s">
        <v>184</v>
      </c>
      <c r="H175" s="16" t="s">
        <v>187</v>
      </c>
    </row>
    <row r="176">
      <c r="A176" s="12" t="str">
        <f ca="1">ModifyCode(G176)</f>
        <v>#NAME?</v>
      </c>
      <c r="B176" s="12" t="str">
        <f ca="1">ModifyCode(H176)</f>
        <v>#NAME?</v>
      </c>
      <c r="C176" s="13">
        <v>0.36099999999999999</v>
      </c>
      <c r="D176" s="14" t="s">
        <v>222</v>
      </c>
      <c r="E176" s="15"/>
      <c r="F176" s="15"/>
      <c r="G176" s="16" t="s">
        <v>187</v>
      </c>
      <c r="H176" s="16" t="s">
        <v>27</v>
      </c>
    </row>
    <row r="177">
      <c r="A177" s="12" t="str">
        <f ca="1">ModifyCode(G177)</f>
        <v>#NAME?</v>
      </c>
      <c r="B177" s="12" t="str">
        <f ca="1">ModifyCode(H177)</f>
        <v>#NAME?</v>
      </c>
      <c r="C177" s="13">
        <v>1</v>
      </c>
      <c r="D177" s="14" t="s">
        <v>220</v>
      </c>
      <c r="E177" s="15"/>
      <c r="F177" s="15"/>
      <c r="G177" s="16" t="s">
        <v>184</v>
      </c>
      <c r="H177" s="16" t="s">
        <v>188</v>
      </c>
    </row>
    <row r="178">
      <c r="A178" s="12" t="str">
        <f ca="1">ModifyCode(G178)</f>
        <v>#NAME?</v>
      </c>
      <c r="B178" s="12" t="str">
        <f ca="1">ModifyCode(H178)</f>
        <v>#NAME?</v>
      </c>
      <c r="C178" s="13">
        <v>0.36099999999999999</v>
      </c>
      <c r="D178" s="14" t="s">
        <v>222</v>
      </c>
      <c r="E178" s="15"/>
      <c r="F178" s="15"/>
      <c r="G178" s="16" t="s">
        <v>188</v>
      </c>
      <c r="H178" s="16" t="s">
        <v>27</v>
      </c>
    </row>
    <row r="179">
      <c r="A179" s="12" t="str">
        <f ca="1">ModifyCode(G179)</f>
        <v>#NAME?</v>
      </c>
      <c r="B179" s="12" t="str">
        <f ca="1">ModifyCode(H179)</f>
        <v>#NAME?</v>
      </c>
      <c r="C179" s="13">
        <v>1</v>
      </c>
      <c r="D179" s="14" t="s">
        <v>220</v>
      </c>
      <c r="E179" s="15"/>
      <c r="F179" s="15"/>
      <c r="G179" s="16" t="s">
        <v>184</v>
      </c>
      <c r="H179" s="16" t="s">
        <v>189</v>
      </c>
    </row>
    <row r="180">
      <c r="A180" s="12" t="str">
        <f ca="1">ModifyCode(G180)</f>
        <v>#NAME?</v>
      </c>
      <c r="B180" s="12" t="str">
        <f ca="1">ModifyCode(H180)</f>
        <v>#NAME?</v>
      </c>
      <c r="C180" s="13">
        <v>0.48899999999999999</v>
      </c>
      <c r="D180" s="14" t="s">
        <v>222</v>
      </c>
      <c r="E180" s="15"/>
      <c r="F180" s="15"/>
      <c r="G180" s="16" t="s">
        <v>189</v>
      </c>
      <c r="H180" s="16" t="s">
        <v>27</v>
      </c>
    </row>
    <row r="181">
      <c r="A181" s="12" t="str">
        <f ca="1">ModifyCode(G181)</f>
        <v>#NAME?</v>
      </c>
      <c r="B181" s="12" t="str">
        <f ca="1">ModifyCode(H181)</f>
        <v>#NAME?</v>
      </c>
      <c r="C181" s="13">
        <v>1</v>
      </c>
      <c r="D181" s="14" t="s">
        <v>220</v>
      </c>
      <c r="E181" s="15"/>
      <c r="F181" s="15"/>
      <c r="G181" s="16" t="s">
        <v>184</v>
      </c>
      <c r="H181" s="16" t="s">
        <v>190</v>
      </c>
    </row>
    <row r="182">
      <c r="A182" s="12" t="str">
        <f ca="1">ModifyCode(G182)</f>
        <v>#NAME?</v>
      </c>
      <c r="B182" s="12" t="str">
        <f ca="1">ModifyCode(H182)</f>
        <v>#NAME?</v>
      </c>
      <c r="C182" s="13">
        <v>0.48899999999999999</v>
      </c>
      <c r="D182" s="14" t="s">
        <v>222</v>
      </c>
      <c r="E182" s="15"/>
      <c r="F182" s="15"/>
      <c r="G182" s="16" t="s">
        <v>190</v>
      </c>
      <c r="H182" s="16" t="s">
        <v>27</v>
      </c>
    </row>
    <row r="183">
      <c r="A183" s="12" t="str">
        <f ca="1">ModifyCode(G183)</f>
        <v>#NAME?</v>
      </c>
      <c r="B183" s="12" t="str">
        <f ca="1">ModifyCode(H183)</f>
        <v>#NAME?</v>
      </c>
      <c r="C183" s="13">
        <v>2</v>
      </c>
      <c r="D183" s="14" t="s">
        <v>220</v>
      </c>
      <c r="E183" s="15"/>
      <c r="F183" s="15"/>
      <c r="G183" s="16" t="s">
        <v>14</v>
      </c>
      <c r="H183" s="16" t="s">
        <v>192</v>
      </c>
    </row>
    <row r="184">
      <c r="A184" s="12" t="str">
        <f ca="1">ModifyCode(G184)</f>
        <v>#NAME?</v>
      </c>
      <c r="B184" s="12" t="str">
        <f ca="1">ModifyCode(H184)</f>
        <v>#NAME?</v>
      </c>
      <c r="C184" s="13">
        <v>1</v>
      </c>
      <c r="D184" s="14" t="s">
        <v>220</v>
      </c>
      <c r="E184" s="15"/>
      <c r="F184" s="15"/>
      <c r="G184" s="16" t="s">
        <v>192</v>
      </c>
      <c r="H184" s="16" t="s">
        <v>194</v>
      </c>
    </row>
    <row r="185">
      <c r="A185" s="12" t="str">
        <f ca="1">ModifyCode(G185)</f>
        <v>#NAME?</v>
      </c>
      <c r="B185" s="12" t="str">
        <f ca="1">ModifyCode(H185)</f>
        <v>#NAME?</v>
      </c>
      <c r="C185" s="13">
        <v>0.17299999999999999</v>
      </c>
      <c r="D185" s="14" t="s">
        <v>221</v>
      </c>
      <c r="E185" s="15"/>
      <c r="F185" s="15"/>
      <c r="G185" s="16" t="s">
        <v>194</v>
      </c>
      <c r="H185" s="16" t="s">
        <v>22</v>
      </c>
    </row>
    <row r="186">
      <c r="A186" s="12" t="str">
        <f ca="1">ModifyCode(G186)</f>
        <v>#NAME?</v>
      </c>
      <c r="B186" s="12" t="str">
        <f ca="1">ModifyCode(H186)</f>
        <v>#NAME?</v>
      </c>
      <c r="C186" s="13">
        <v>1</v>
      </c>
      <c r="D186" s="14" t="s">
        <v>220</v>
      </c>
      <c r="E186" s="15"/>
      <c r="F186" s="15"/>
      <c r="G186" s="16" t="s">
        <v>192</v>
      </c>
      <c r="H186" s="16" t="s">
        <v>195</v>
      </c>
    </row>
    <row r="187">
      <c r="A187" s="12" t="str">
        <f ca="1">ModifyCode(G187)</f>
        <v>#NAME?</v>
      </c>
      <c r="B187" s="12" t="str">
        <f ca="1">ModifyCode(H187)</f>
        <v>#NAME?</v>
      </c>
      <c r="C187" s="13">
        <v>0.46600000000000003</v>
      </c>
      <c r="D187" s="14" t="s">
        <v>222</v>
      </c>
      <c r="E187" s="15"/>
      <c r="F187" s="15"/>
      <c r="G187" s="16" t="s">
        <v>195</v>
      </c>
      <c r="H187" s="16" t="s">
        <v>27</v>
      </c>
    </row>
    <row r="188">
      <c r="A188" s="12" t="str">
        <f ca="1">ModifyCode(G188)</f>
        <v>#NAME?</v>
      </c>
      <c r="B188" s="12" t="str">
        <f ca="1">ModifyCode(H188)</f>
        <v>#NAME?</v>
      </c>
      <c r="C188" s="13">
        <v>1</v>
      </c>
      <c r="D188" s="14" t="s">
        <v>220</v>
      </c>
      <c r="E188" s="15"/>
      <c r="F188" s="15"/>
      <c r="G188" s="16" t="s">
        <v>192</v>
      </c>
      <c r="H188" s="16" t="s">
        <v>196</v>
      </c>
    </row>
    <row r="189">
      <c r="A189" s="12" t="str">
        <f ca="1">ModifyCode(G189)</f>
        <v>#NAME?</v>
      </c>
      <c r="B189" s="12" t="str">
        <f ca="1">ModifyCode(H189)</f>
        <v>#NAME?</v>
      </c>
      <c r="C189" s="13">
        <v>0.46600000000000003</v>
      </c>
      <c r="D189" s="14" t="s">
        <v>222</v>
      </c>
      <c r="E189" s="15"/>
      <c r="F189" s="15"/>
      <c r="G189" s="16" t="s">
        <v>196</v>
      </c>
      <c r="H189" s="16" t="s">
        <v>27</v>
      </c>
    </row>
    <row r="190">
      <c r="A190" s="12" t="str">
        <f ca="1">ModifyCode(G190)</f>
        <v>#NAME?</v>
      </c>
      <c r="B190" s="12" t="str">
        <f ca="1">ModifyCode(H190)</f>
        <v>#NAME?</v>
      </c>
      <c r="C190" s="13">
        <v>1</v>
      </c>
      <c r="D190" s="14" t="s">
        <v>220</v>
      </c>
      <c r="E190" s="15"/>
      <c r="F190" s="15"/>
      <c r="G190" s="16" t="s">
        <v>192</v>
      </c>
      <c r="H190" s="16" t="s">
        <v>197</v>
      </c>
    </row>
    <row r="191">
      <c r="A191" s="12" t="str">
        <f ca="1">ModifyCode(G191)</f>
        <v>#NAME?</v>
      </c>
      <c r="B191" s="12" t="str">
        <f ca="1">ModifyCode(H191)</f>
        <v>#NAME?</v>
      </c>
      <c r="C191" s="13">
        <v>0.38900000000000001</v>
      </c>
      <c r="D191" s="14" t="s">
        <v>222</v>
      </c>
      <c r="E191" s="15"/>
      <c r="F191" s="15"/>
      <c r="G191" s="16" t="s">
        <v>197</v>
      </c>
      <c r="H191" s="16" t="s">
        <v>27</v>
      </c>
    </row>
    <row r="192">
      <c r="A192" s="12" t="str">
        <f ca="1">ModifyCode(G192)</f>
        <v>#NAME?</v>
      </c>
      <c r="B192" s="12" t="str">
        <f ca="1">ModifyCode(H192)</f>
        <v>#NAME?</v>
      </c>
      <c r="C192" s="13">
        <v>1</v>
      </c>
      <c r="D192" s="14" t="s">
        <v>220</v>
      </c>
      <c r="E192" s="15"/>
      <c r="F192" s="15"/>
      <c r="G192" s="16" t="s">
        <v>192</v>
      </c>
      <c r="H192" s="16" t="s">
        <v>198</v>
      </c>
    </row>
    <row r="193">
      <c r="A193" s="12" t="str">
        <f ca="1">ModifyCode(G193)</f>
        <v>#NAME?</v>
      </c>
      <c r="B193" s="12" t="str">
        <f ca="1">ModifyCode(H193)</f>
        <v>#NAME?</v>
      </c>
      <c r="C193" s="13">
        <v>0.38900000000000001</v>
      </c>
      <c r="D193" s="14" t="s">
        <v>222</v>
      </c>
      <c r="E193" s="15"/>
      <c r="F193" s="15"/>
      <c r="G193" s="16" t="s">
        <v>198</v>
      </c>
      <c r="H193" s="16" t="s">
        <v>27</v>
      </c>
    </row>
    <row r="194">
      <c r="A194" s="12" t="str">
        <f ca="1">ModifyCode(G194)</f>
        <v>#NAME?</v>
      </c>
      <c r="B194" s="12" t="str">
        <f ca="1">ModifyCode(H194)</f>
        <v>#NAME?</v>
      </c>
      <c r="C194" s="13">
        <v>44</v>
      </c>
      <c r="D194" s="14" t="s">
        <v>220</v>
      </c>
      <c r="E194" s="15"/>
      <c r="F194" s="15"/>
      <c r="G194" s="16" t="s">
        <v>14</v>
      </c>
      <c r="H194" s="16" t="s">
        <v>200</v>
      </c>
    </row>
    <row r="195">
      <c r="A195" s="12" t="str">
        <f ca="1">ModifyCode(G195)</f>
        <v>#NAME?</v>
      </c>
      <c r="B195" s="12" t="str">
        <f ca="1">ModifyCode(H195)</f>
        <v>#NAME?</v>
      </c>
      <c r="C195" s="13">
        <v>44</v>
      </c>
      <c r="D195" s="14" t="s">
        <v>220</v>
      </c>
      <c r="E195" s="15"/>
      <c r="F195" s="15"/>
      <c r="G195" s="16" t="s">
        <v>14</v>
      </c>
      <c r="H195" s="16" t="s">
        <v>202</v>
      </c>
    </row>
    <row r="196">
      <c r="A196" s="12" t="str">
        <f ca="1">ModifyCode(G196)</f>
        <v>#NAME?</v>
      </c>
      <c r="B196" s="12" t="str">
        <f ca="1">ModifyCode(H196)</f>
        <v>#NAME?</v>
      </c>
      <c r="C196" s="13">
        <v>58</v>
      </c>
      <c r="D196" s="14" t="s">
        <v>220</v>
      </c>
      <c r="E196" s="15"/>
      <c r="F196" s="15"/>
      <c r="G196" s="16" t="s">
        <v>14</v>
      </c>
      <c r="H196" s="16" t="s">
        <v>204</v>
      </c>
    </row>
    <row r="197">
      <c r="A197" s="12" t="str">
        <f ca="1">ModifyCode(G197)</f>
        <v>#NAME?</v>
      </c>
      <c r="B197" s="12" t="str">
        <f ca="1">ModifyCode(H197)</f>
        <v>#NAME?</v>
      </c>
      <c r="C197" s="13">
        <v>44</v>
      </c>
      <c r="D197" s="14" t="s">
        <v>220</v>
      </c>
      <c r="E197" s="15"/>
      <c r="F197" s="15"/>
      <c r="G197" s="16" t="s">
        <v>14</v>
      </c>
      <c r="H197" s="16" t="s">
        <v>206</v>
      </c>
    </row>
    <row r="198">
      <c r="A198" s="12" t="str">
        <f ca="1">ModifyCode(G198)</f>
        <v>#NAME?</v>
      </c>
      <c r="B198" s="12" t="str">
        <f ca="1">ModifyCode(H198)</f>
        <v>#NAME?</v>
      </c>
      <c r="C198" s="13">
        <v>16</v>
      </c>
      <c r="D198" s="14" t="s">
        <v>220</v>
      </c>
      <c r="E198" s="15"/>
      <c r="F198" s="15"/>
      <c r="G198" s="16" t="s">
        <v>14</v>
      </c>
      <c r="H198" s="16" t="s">
        <v>208</v>
      </c>
    </row>
    <row r="199">
      <c r="A199" s="12" t="str">
        <f ca="1">ModifyCode(G199)</f>
        <v>#NAME?</v>
      </c>
      <c r="B199" s="12" t="str">
        <f ca="1">ModifyCode(H199)</f>
        <v>#NAME?</v>
      </c>
      <c r="C199" s="13">
        <v>32</v>
      </c>
      <c r="D199" s="14" t="s">
        <v>220</v>
      </c>
      <c r="E199" s="15"/>
      <c r="F199" s="15"/>
      <c r="G199" s="16" t="s">
        <v>14</v>
      </c>
      <c r="H199" s="16" t="s">
        <v>210</v>
      </c>
    </row>
    <row r="200">
      <c r="A200" s="12" t="str">
        <f ca="1">ModifyCode(G200)</f>
        <v>#NAME?</v>
      </c>
      <c r="B200" s="12" t="str">
        <f ca="1">ModifyCode(H200)</f>
        <v>#NAME?</v>
      </c>
      <c r="C200" s="13">
        <v>2</v>
      </c>
      <c r="D200" s="14" t="s">
        <v>220</v>
      </c>
      <c r="E200" s="15"/>
      <c r="F200" s="15"/>
      <c r="G200" s="16" t="s">
        <v>14</v>
      </c>
      <c r="H200" s="16" t="s">
        <v>212</v>
      </c>
    </row>
    <row r="201">
      <c r="A201" s="12" t="str">
        <f ca="1">ModifyCode(G201)</f>
        <v>#NAME?</v>
      </c>
      <c r="B201" s="12" t="str">
        <f ca="1">ModifyCode(H201)</f>
        <v>#NAME?</v>
      </c>
      <c r="C201" s="13">
        <v>8</v>
      </c>
      <c r="D201" s="14" t="s">
        <v>220</v>
      </c>
      <c r="E201" s="15"/>
      <c r="F201" s="15"/>
      <c r="G201" s="16" t="s">
        <v>14</v>
      </c>
      <c r="H201" s="16" t="s">
        <v>213</v>
      </c>
    </row>
    <row r="202">
      <c r="A202" s="12" t="str">
        <f ca="1">ModifyCode(G202)</f>
        <v>#NAME?</v>
      </c>
      <c r="B202" s="12" t="str">
        <f ca="1">ModifyCode(H202)</f>
        <v>#NAME?</v>
      </c>
      <c r="C202" s="13">
        <v>2</v>
      </c>
      <c r="D202" s="14" t="s">
        <v>220</v>
      </c>
      <c r="E202" s="15"/>
      <c r="F202" s="15"/>
      <c r="G202" s="16" t="s">
        <v>14</v>
      </c>
      <c r="H202" s="16" t="s">
        <v>215</v>
      </c>
    </row>
  </sheetData>
  <pageMargins left="0.69999999999999996" right="0.69999999999999996" top="0.75" bottom="0.75" header="0.29999999999999999" footer="0.29999999999999999"/>
  <pageSetup orientation="portrait" scale="100" paperSize="9" fitToWidth="0" fitToHeight="0" horizontalDpi="0" verticalDpi="0" copies="1"/>
</worksheet>
</file>

<file path=xl/worksheets/sheet3.xml><?xml version="1.0" encoding="utf-8"?>
<worksheet xmlns="http://schemas.openxmlformats.org/spreadsheetml/2006/main" xmlns:r="http://schemas.openxmlformats.org/officeDocument/2006/relationships" xmlns:x14="http://schemas.microsoft.com/office/spreadsheetml/2009/9/main">
  <sheetPr codeName="Sheet3"/>
  <dimension ref="A1:AT32"/>
  <sheetViews>
    <sheetView workbookViewId="0" topLeftCell="A1" zoomScaleNormal="100" zoomScaleSheetLayoutView="60" zoomScale="100" view="normal">
      <selection activeCell="B36" sqref="B36"/>
    </sheetView>
  </sheetViews>
  <sheetFormatPr defaultRowHeight="15"/>
  <cols>
    <col min="1" max="1" width="25.71094" customWidth="1"/>
    <col min="2" max="2" width="35.71094" customWidth="1"/>
    <col min="3" max="6" width="10.71094" customWidth="1"/>
    <col min="7" max="8" width="15.71094" customWidth="1"/>
    <col min="9" max="11" width="20.71094" customWidth="1"/>
    <col min="12" max="12" width="25.71094" customWidth="1"/>
    <col min="13" max="16" width="55.71094" customWidth="1"/>
    <col min="17" max="21" width="8.710938" customWidth="1"/>
    <col min="22" max="26" width="40.71094" customWidth="1"/>
    <col min="27" max="27" width="10.71094" customWidth="1"/>
    <col min="28" max="34" width="20.71094" customWidth="1"/>
    <col min="35" max="38" width="55.71094" customWidth="1"/>
    <col min="39" max="43" width="8.710938" customWidth="1"/>
    <col min="44" max="46" width="25.71094" customWidth="1"/>
  </cols>
  <sheetData>
    <row r="1" customFormat="true" s="17">
      <c r="A1">
        <v>1</v>
      </c>
      <c r="B1">
        <f ca="1">A1 + 1</f>
        <v>2</v>
      </c>
      <c r="C1">
        <f ca="1">B1 + 1</f>
        <v>3</v>
      </c>
      <c r="D1">
        <f ca="1">C1 + 1</f>
        <v>4</v>
      </c>
      <c r="E1">
        <f ca="1">D1 + 1</f>
        <v>5</v>
      </c>
      <c r="F1">
        <f ca="1">E1 + 1</f>
        <v>6</v>
      </c>
      <c r="G1">
        <f ca="1">F1 + 1</f>
        <v>7</v>
      </c>
      <c r="H1">
        <f ca="1">G1 + 1</f>
        <v>8</v>
      </c>
      <c r="I1">
        <f ca="1">H1 + 1</f>
        <v>9</v>
      </c>
      <c r="J1">
        <f ca="1">I1 + 1</f>
        <v>10</v>
      </c>
      <c r="K1">
        <f ca="1">J1 + 1</f>
        <v>11</v>
      </c>
      <c r="L1">
        <f ca="1">K1 + 1</f>
        <v>12</v>
      </c>
      <c r="M1">
        <f ca="1">L1 + 1</f>
        <v>13</v>
      </c>
      <c r="N1">
        <f ca="1">M1 + 1</f>
        <v>14</v>
      </c>
      <c r="O1">
        <f ca="1">N1 + 1</f>
        <v>15</v>
      </c>
      <c r="P1">
        <f ca="1">O1 + 1</f>
        <v>16</v>
      </c>
      <c r="Q1">
        <f ca="1">P1 + 1</f>
        <v>17</v>
      </c>
      <c r="R1">
        <f ca="1">Q1 + 1</f>
        <v>18</v>
      </c>
      <c r="S1">
        <f ca="1">R1 + 1</f>
        <v>19</v>
      </c>
      <c r="T1">
        <f ca="1">S1 + 1</f>
        <v>20</v>
      </c>
      <c r="U1">
        <f ca="1">T1 + 1</f>
        <v>21</v>
      </c>
      <c r="V1">
        <f ca="1">U1 + 1</f>
        <v>22</v>
      </c>
      <c r="W1">
        <f ca="1">V1 + 1</f>
        <v>23</v>
      </c>
      <c r="X1">
        <f ca="1">W1 + 1</f>
        <v>24</v>
      </c>
      <c r="Y1">
        <f ca="1">X1 + 1</f>
        <v>25</v>
      </c>
      <c r="Z1">
        <f ca="1">Y1 + 1</f>
        <v>26</v>
      </c>
      <c r="AA1">
        <f ca="1">Z1 + 1</f>
        <v>27</v>
      </c>
      <c r="AB1">
        <f ca="1">AA1 + 1</f>
        <v>28</v>
      </c>
      <c r="AC1">
        <f ca="1">AB1 + 1</f>
        <v>29</v>
      </c>
      <c r="AD1">
        <f ca="1">AC1 + 1</f>
        <v>30</v>
      </c>
      <c r="AE1">
        <f ca="1">AD1 + 1</f>
        <v>31</v>
      </c>
      <c r="AF1">
        <f ca="1">AE1 + 1</f>
        <v>32</v>
      </c>
      <c r="AG1">
        <f ca="1">AF1 + 1</f>
        <v>33</v>
      </c>
      <c r="AH1">
        <f ca="1">AG1 + 1</f>
        <v>34</v>
      </c>
      <c r="AI1">
        <f ca="1">AH1 + 1</f>
        <v>35</v>
      </c>
      <c r="AJ1">
        <f ca="1">AI1 + 1</f>
        <v>36</v>
      </c>
      <c r="AK1">
        <f ca="1">AJ1 + 1</f>
        <v>37</v>
      </c>
      <c r="AL1">
        <f ca="1">AK1 + 1</f>
        <v>38</v>
      </c>
      <c r="AM1">
        <f ca="1">AL1 + 1</f>
        <v>39</v>
      </c>
      <c r="AN1">
        <f ca="1">AM1 + 1</f>
        <v>40</v>
      </c>
      <c r="AO1">
        <f ca="1">AN1 + 1</f>
        <v>41</v>
      </c>
      <c r="AP1">
        <f ca="1">AO1 + 1</f>
        <v>42</v>
      </c>
      <c r="AQ1">
        <f ca="1">AP1 + 1</f>
        <v>43</v>
      </c>
    </row>
    <row r="2" customFormat="true" s="17">
      <c r="A2" s="11" t="s">
        <v>223</v>
      </c>
      <c r="B2" s="11"/>
      <c r="C2" s="11"/>
      <c r="D2" s="11"/>
      <c r="E2" s="11"/>
      <c r="F2" s="11"/>
      <c r="G2" s="11"/>
      <c r="H2" s="11"/>
      <c r="I2" s="11"/>
      <c r="J2" s="11"/>
      <c r="K2" s="11"/>
      <c r="L2" s="11"/>
      <c r="M2" s="18" t="s">
        <v>224</v>
      </c>
      <c r="N2" s="18"/>
      <c r="O2" s="18"/>
      <c r="P2" s="18"/>
      <c r="Q2" s="19" t="s">
        <v>225</v>
      </c>
      <c r="R2" s="19"/>
      <c r="S2" s="19"/>
      <c r="T2" s="19"/>
      <c r="U2" s="20"/>
      <c r="V2" s="21" t="s">
        <v>226</v>
      </c>
      <c r="W2" s="21"/>
      <c r="X2" s="22"/>
      <c r="Y2" s="22"/>
      <c r="Z2" s="22"/>
      <c r="AA2" s="22"/>
      <c r="AB2" s="22"/>
      <c r="AC2" s="22"/>
      <c r="AD2" s="22"/>
      <c r="AE2" s="22"/>
      <c r="AF2" s="22"/>
      <c r="AG2" s="22"/>
      <c r="AH2" s="22"/>
      <c r="AI2" s="23" t="s">
        <v>227</v>
      </c>
      <c r="AJ2" s="23"/>
      <c r="AK2" s="23"/>
      <c r="AL2" s="23"/>
      <c r="AM2" s="23"/>
      <c r="AN2" s="23"/>
      <c r="AO2" s="23"/>
      <c r="AP2" s="23"/>
      <c r="AQ2" s="23"/>
      <c r="AR2" s="23"/>
      <c r="AS2" s="23"/>
      <c r="AT2" s="23"/>
    </row>
    <row r="3" customFormat="true" s="17">
      <c r="A3" s="11" t="s">
        <v>228</v>
      </c>
      <c r="B3" s="11" t="s">
        <v>229</v>
      </c>
      <c r="C3" s="11" t="s">
        <v>5</v>
      </c>
      <c r="D3" s="11" t="s">
        <v>6</v>
      </c>
      <c r="E3" s="11" t="s">
        <v>7</v>
      </c>
      <c r="F3" s="11" t="s">
        <v>218</v>
      </c>
      <c r="G3" s="11" t="s">
        <v>230</v>
      </c>
      <c r="H3" s="11" t="s">
        <v>231</v>
      </c>
      <c r="I3" s="11" t="s">
        <v>232</v>
      </c>
      <c r="J3" s="11" t="s">
        <v>233</v>
      </c>
      <c r="K3" s="11" t="s">
        <v>234</v>
      </c>
      <c r="L3" s="11" t="s">
        <v>235</v>
      </c>
      <c r="M3" s="24" t="s">
        <v>236</v>
      </c>
      <c r="N3" s="24" t="s">
        <v>237</v>
      </c>
      <c r="O3" s="24" t="s">
        <v>238</v>
      </c>
      <c r="P3" s="24" t="s">
        <v>239</v>
      </c>
      <c r="Q3" s="25" t="s">
        <v>240</v>
      </c>
      <c r="R3" s="25" t="s">
        <v>241</v>
      </c>
      <c r="S3" s="25" t="s">
        <v>242</v>
      </c>
      <c r="T3" s="25" t="s">
        <v>243</v>
      </c>
      <c r="U3" s="25" t="s">
        <v>244</v>
      </c>
      <c r="V3" s="25" t="s">
        <v>245</v>
      </c>
      <c r="W3" s="25" t="s">
        <v>246</v>
      </c>
      <c r="X3" s="25" t="s">
        <v>247</v>
      </c>
      <c r="Y3" s="25" t="s">
        <v>248</v>
      </c>
      <c r="Z3" s="25" t="s">
        <v>249</v>
      </c>
      <c r="AA3" s="25" t="s">
        <v>250</v>
      </c>
      <c r="AB3" s="25" t="s">
        <v>251</v>
      </c>
      <c r="AC3" s="25" t="s">
        <v>252</v>
      </c>
      <c r="AD3" s="25" t="s">
        <v>253</v>
      </c>
      <c r="AE3" s="25" t="s">
        <v>254</v>
      </c>
      <c r="AF3" s="25" t="s">
        <v>255</v>
      </c>
      <c r="AG3" s="25" t="s">
        <v>256</v>
      </c>
      <c r="AH3" s="25" t="s">
        <v>257</v>
      </c>
      <c r="AI3" s="24" t="s">
        <v>236</v>
      </c>
      <c r="AJ3" s="24" t="s">
        <v>239</v>
      </c>
      <c r="AK3" s="24" t="s">
        <v>237</v>
      </c>
      <c r="AL3" s="24" t="s">
        <v>238</v>
      </c>
      <c r="AM3" s="25" t="s">
        <v>236</v>
      </c>
      <c r="AN3" s="25" t="s">
        <v>237</v>
      </c>
      <c r="AO3" s="25" t="s">
        <v>238</v>
      </c>
      <c r="AP3" s="25" t="s">
        <v>239</v>
      </c>
      <c r="AQ3" s="25" t="s">
        <v>258</v>
      </c>
      <c r="AR3" s="25" t="s">
        <v>259</v>
      </c>
      <c r="AS3" s="25" t="s">
        <v>260</v>
      </c>
      <c r="AT3" s="25" t="s">
        <v>261</v>
      </c>
    </row>
    <row r="5" customFormat="true" s="17">
      <c r="A5" s="26" t="s">
        <v>20</v>
      </c>
      <c r="B5" s="26" t="s">
        <v>22</v>
      </c>
      <c r="C5" s="26">
        <v>840</v>
      </c>
      <c r="D5" s="26">
        <v>144</v>
      </c>
      <c r="E5" s="27">
        <v>18</v>
      </c>
      <c r="F5" s="28">
        <v>4</v>
      </c>
      <c r="G5" s="1">
        <v>840</v>
      </c>
      <c r="H5" s="1">
        <v>144</v>
      </c>
      <c r="I5" s="26" t="s">
        <v>14</v>
      </c>
      <c r="J5" s="26" t="s">
        <v>17</v>
      </c>
      <c r="K5" s="26" t="s">
        <v>262</v>
      </c>
      <c r="L5" s="26" t="s">
        <v>263</v>
      </c>
      <c r="M5" s="17" t="str">
        <f ca="1">IF(ISBLANK(AI5), "-", AI5)</f>
        <v>PVC edge band PVC 1</v>
      </c>
      <c r="N5" s="17" t="str">
        <f ca="1">IF(ISBLANK(AK5), "-", AK5)</f>
        <v>-</v>
      </c>
      <c r="O5" s="17" t="str">
        <f ca="1">IF(ISBLANK(AL5), "-", AL5)</f>
        <v>-</v>
      </c>
      <c r="P5" s="17" t="str">
        <f ca="1">IF(ISBLANK(AJ5), "-", AJ5)</f>
        <v>-</v>
      </c>
      <c r="Q5" s="29">
        <f ca="1">IF(ISBLANK(AM5), "-", AM5)</f>
        <v>0.45000000000000001</v>
      </c>
      <c r="R5" s="29" t="str">
        <f ca="1">IF(ISBLANK(AN5), "-", AN5)</f>
        <v>-</v>
      </c>
      <c r="S5" s="29" t="str">
        <f ca="1">IF(ISBLANK(AO5), "-", AO5)</f>
        <v>-</v>
      </c>
      <c r="T5" s="29" t="str">
        <f ca="1">IF(ISBLANK(AP5), "-", AP5)</f>
        <v>-</v>
      </c>
      <c r="U5" s="29">
        <f ca="1">IF(AQ5, 1, 0)</f>
        <v>1</v>
      </c>
      <c r="V5" s="17">
        <v>1</v>
      </c>
      <c r="W5" s="17"/>
      <c r="X5" s="17" t="s">
        <v>264</v>
      </c>
      <c r="Y5" s="17"/>
      <c r="Z5" s="17">
        <v>1</v>
      </c>
      <c r="AA5" s="29" t="str">
        <f ca="1">InverseAxis(V5, W5)</f>
        <v>#NAME?</v>
      </c>
      <c r="AB5" s="26">
        <v>840</v>
      </c>
      <c r="AC5" s="26">
        <v>144</v>
      </c>
      <c r="AD5" s="29">
        <v>18</v>
      </c>
      <c r="AE5" s="30" t="s">
        <v>265</v>
      </c>
      <c r="AF5" s="30" t="s">
        <v>265</v>
      </c>
      <c r="AG5" s="30" t="s">
        <v>265</v>
      </c>
      <c r="AH5" s="30" t="s">
        <v>265</v>
      </c>
      <c r="AI5" s="17" t="s">
        <v>266</v>
      </c>
      <c r="AJ5" s="17"/>
      <c r="AK5" s="17"/>
      <c r="AL5" s="17"/>
      <c r="AM5" s="29">
        <v>0.45000000000000001</v>
      </c>
      <c r="AN5" s="29"/>
      <c r="AO5" s="29"/>
      <c r="AP5" s="29"/>
      <c r="AQ5" s="29" t="b">
        <v>1</v>
      </c>
      <c r="AR5" s="29"/>
      <c r="AS5" s="17"/>
      <c r="AT5" s="17"/>
    </row>
    <row r="6" customFormat="true" s="17">
      <c r="A6" s="26" t="s">
        <v>32</v>
      </c>
      <c r="B6" s="26" t="s">
        <v>22</v>
      </c>
      <c r="C6" s="26">
        <v>456</v>
      </c>
      <c r="D6" s="26">
        <v>144</v>
      </c>
      <c r="E6" s="27">
        <v>18</v>
      </c>
      <c r="F6" s="28">
        <v>4</v>
      </c>
      <c r="G6" s="1">
        <v>456</v>
      </c>
      <c r="H6" s="1">
        <v>144</v>
      </c>
      <c r="I6" s="26" t="s">
        <v>14</v>
      </c>
      <c r="J6" s="26" t="s">
        <v>31</v>
      </c>
      <c r="K6" s="26" t="s">
        <v>262</v>
      </c>
      <c r="L6" s="26" t="s">
        <v>263</v>
      </c>
      <c r="M6" s="17" t="str">
        <f ca="1">IF(ISBLANK(AI6), "-", AI6)</f>
        <v>PVC edge band PVC 1</v>
      </c>
      <c r="N6" s="17" t="str">
        <f ca="1">IF(ISBLANK(AK6), "-", AK6)</f>
        <v>-</v>
      </c>
      <c r="O6" s="17" t="str">
        <f ca="1">IF(ISBLANK(AL6), "-", AL6)</f>
        <v>-</v>
      </c>
      <c r="P6" s="17" t="str">
        <f ca="1">IF(ISBLANK(AJ6), "-", AJ6)</f>
        <v>PVC edge band PVC 1</v>
      </c>
      <c r="Q6" s="29">
        <f ca="1">IF(ISBLANK(AM6), "-", AM6)</f>
        <v>0.45000000000000001</v>
      </c>
      <c r="R6" s="29" t="str">
        <f ca="1">IF(ISBLANK(AN6), "-", AN6)</f>
        <v>-</v>
      </c>
      <c r="S6" s="29" t="str">
        <f ca="1">IF(ISBLANK(AO6), "-", AO6)</f>
        <v>-</v>
      </c>
      <c r="T6" s="29">
        <f ca="1">IF(ISBLANK(AP6), "-", AP6)</f>
        <v>0.45000000000000001</v>
      </c>
      <c r="U6" s="29">
        <f ca="1">IF(AQ6, 1, 0)</f>
        <v>1</v>
      </c>
      <c r="V6" s="17">
        <v>1</v>
      </c>
      <c r="W6" s="17"/>
      <c r="X6" s="17" t="s">
        <v>267</v>
      </c>
      <c r="Y6" s="17"/>
      <c r="Z6" s="17">
        <v>1</v>
      </c>
      <c r="AA6" s="29" t="str">
        <f ca="1">InverseAxis(V6, W6)</f>
        <v>#NAME?</v>
      </c>
      <c r="AB6" s="26">
        <v>456</v>
      </c>
      <c r="AC6" s="26">
        <v>144</v>
      </c>
      <c r="AD6" s="29">
        <v>18</v>
      </c>
      <c r="AE6" s="30" t="s">
        <v>265</v>
      </c>
      <c r="AF6" s="30" t="s">
        <v>265</v>
      </c>
      <c r="AG6" s="30" t="s">
        <v>265</v>
      </c>
      <c r="AH6" s="30" t="s">
        <v>265</v>
      </c>
      <c r="AI6" s="17" t="s">
        <v>266</v>
      </c>
      <c r="AJ6" s="17" t="s">
        <v>266</v>
      </c>
      <c r="AK6" s="17"/>
      <c r="AL6" s="17"/>
      <c r="AM6" s="29">
        <v>0.45000000000000001</v>
      </c>
      <c r="AN6" s="29"/>
      <c r="AO6" s="29"/>
      <c r="AP6" s="29">
        <v>0.45000000000000001</v>
      </c>
      <c r="AQ6" s="29" t="b">
        <v>1</v>
      </c>
      <c r="AR6" s="29"/>
      <c r="AS6" s="17"/>
      <c r="AT6" s="17"/>
    </row>
    <row r="7" customFormat="true" s="17">
      <c r="A7" s="26" t="s">
        <v>38</v>
      </c>
      <c r="B7" s="26" t="s">
        <v>22</v>
      </c>
      <c r="C7" s="26">
        <v>456</v>
      </c>
      <c r="D7" s="26">
        <v>144</v>
      </c>
      <c r="E7" s="27">
        <v>18</v>
      </c>
      <c r="F7" s="28">
        <v>4</v>
      </c>
      <c r="G7" s="1">
        <v>456</v>
      </c>
      <c r="H7" s="1">
        <v>144</v>
      </c>
      <c r="I7" s="26" t="s">
        <v>14</v>
      </c>
      <c r="J7" s="26" t="s">
        <v>37</v>
      </c>
      <c r="K7" s="26" t="s">
        <v>262</v>
      </c>
      <c r="L7" s="26" t="s">
        <v>263</v>
      </c>
      <c r="M7" s="17" t="str">
        <f ca="1">IF(ISBLANK(AI7), "-", AI7)</f>
        <v>PVC edge band PVC 1</v>
      </c>
      <c r="N7" s="17" t="str">
        <f ca="1">IF(ISBLANK(AK7), "-", AK7)</f>
        <v>-</v>
      </c>
      <c r="O7" s="17" t="str">
        <f ca="1">IF(ISBLANK(AL7), "-", AL7)</f>
        <v>PVC edge band PVC 1</v>
      </c>
      <c r="P7" s="17" t="str">
        <f ca="1">IF(ISBLANK(AJ7), "-", AJ7)</f>
        <v>-</v>
      </c>
      <c r="Q7" s="29">
        <f ca="1">IF(ISBLANK(AM7), "-", AM7)</f>
        <v>0.45000000000000001</v>
      </c>
      <c r="R7" s="29" t="str">
        <f ca="1">IF(ISBLANK(AN7), "-", AN7)</f>
        <v>-</v>
      </c>
      <c r="S7" s="29">
        <f ca="1">IF(ISBLANK(AO7), "-", AO7)</f>
        <v>0.45000000000000001</v>
      </c>
      <c r="T7" s="29" t="str">
        <f ca="1">IF(ISBLANK(AP7), "-", AP7)</f>
        <v>-</v>
      </c>
      <c r="U7" s="29">
        <f ca="1">IF(AQ7, 1, 0)</f>
        <v>1</v>
      </c>
      <c r="V7" s="17">
        <v>3</v>
      </c>
      <c r="W7" s="17"/>
      <c r="X7" s="17" t="s">
        <v>268</v>
      </c>
      <c r="Y7" s="17"/>
      <c r="Z7" s="17">
        <v>1</v>
      </c>
      <c r="AA7" s="29" t="str">
        <f ca="1">InverseAxis(V7, W7)</f>
        <v>#NAME?</v>
      </c>
      <c r="AB7" s="26">
        <v>456</v>
      </c>
      <c r="AC7" s="26">
        <v>144</v>
      </c>
      <c r="AD7" s="29">
        <v>18</v>
      </c>
      <c r="AE7" s="30" t="s">
        <v>265</v>
      </c>
      <c r="AF7" s="30" t="s">
        <v>265</v>
      </c>
      <c r="AG7" s="30" t="s">
        <v>265</v>
      </c>
      <c r="AH7" s="30" t="s">
        <v>265</v>
      </c>
      <c r="AI7" s="17" t="s">
        <v>266</v>
      </c>
      <c r="AJ7" s="17"/>
      <c r="AK7" s="17"/>
      <c r="AL7" s="17" t="s">
        <v>266</v>
      </c>
      <c r="AM7" s="29">
        <v>0.45000000000000001</v>
      </c>
      <c r="AN7" s="29"/>
      <c r="AO7" s="29">
        <v>0.45000000000000001</v>
      </c>
      <c r="AP7" s="29"/>
      <c r="AQ7" s="29" t="b">
        <v>1</v>
      </c>
      <c r="AR7" s="29"/>
      <c r="AS7" s="17"/>
      <c r="AT7" s="17"/>
    </row>
    <row r="8" customFormat="true" s="17">
      <c r="A8" s="26" t="s">
        <v>44</v>
      </c>
      <c r="B8" s="26" t="s">
        <v>22</v>
      </c>
      <c r="C8" s="26">
        <v>840</v>
      </c>
      <c r="D8" s="26">
        <v>144</v>
      </c>
      <c r="E8" s="27">
        <v>18</v>
      </c>
      <c r="F8" s="28">
        <v>4</v>
      </c>
      <c r="G8" s="1">
        <v>840</v>
      </c>
      <c r="H8" s="1">
        <v>144</v>
      </c>
      <c r="I8" s="26" t="s">
        <v>14</v>
      </c>
      <c r="J8" s="26" t="s">
        <v>43</v>
      </c>
      <c r="K8" s="26" t="s">
        <v>262</v>
      </c>
      <c r="L8" s="26" t="s">
        <v>263</v>
      </c>
      <c r="M8" s="17" t="str">
        <f ca="1">IF(ISBLANK(AI8), "-", AI8)</f>
        <v>PVC edge band PVC 1</v>
      </c>
      <c r="N8" s="17" t="str">
        <f ca="1">IF(ISBLANK(AK8), "-", AK8)</f>
        <v>-</v>
      </c>
      <c r="O8" s="17" t="str">
        <f ca="1">IF(ISBLANK(AL8), "-", AL8)</f>
        <v>-</v>
      </c>
      <c r="P8" s="17" t="str">
        <f ca="1">IF(ISBLANK(AJ8), "-", AJ8)</f>
        <v>-</v>
      </c>
      <c r="Q8" s="29">
        <f ca="1">IF(ISBLANK(AM8), "-", AM8)</f>
        <v>0.45000000000000001</v>
      </c>
      <c r="R8" s="29" t="str">
        <f ca="1">IF(ISBLANK(AN8), "-", AN8)</f>
        <v>-</v>
      </c>
      <c r="S8" s="29" t="str">
        <f ca="1">IF(ISBLANK(AO8), "-", AO8)</f>
        <v>-</v>
      </c>
      <c r="T8" s="29" t="str">
        <f ca="1">IF(ISBLANK(AP8), "-", AP8)</f>
        <v>-</v>
      </c>
      <c r="U8" s="29">
        <f ca="1">IF(AQ8, 1, 0)</f>
        <v>1</v>
      </c>
      <c r="V8" s="17">
        <v>1</v>
      </c>
      <c r="W8" s="17"/>
      <c r="X8" s="17" t="s">
        <v>269</v>
      </c>
      <c r="Y8" s="17"/>
      <c r="Z8" s="17">
        <v>1</v>
      </c>
      <c r="AA8" s="29" t="str">
        <f ca="1">InverseAxis(V8, W8)</f>
        <v>#NAME?</v>
      </c>
      <c r="AB8" s="26">
        <v>840</v>
      </c>
      <c r="AC8" s="26">
        <v>144</v>
      </c>
      <c r="AD8" s="29">
        <v>18</v>
      </c>
      <c r="AE8" s="30" t="s">
        <v>265</v>
      </c>
      <c r="AF8" s="30" t="s">
        <v>265</v>
      </c>
      <c r="AG8" s="30" t="s">
        <v>265</v>
      </c>
      <c r="AH8" s="30" t="s">
        <v>265</v>
      </c>
      <c r="AI8" s="17" t="s">
        <v>266</v>
      </c>
      <c r="AJ8" s="17"/>
      <c r="AK8" s="17"/>
      <c r="AL8" s="17"/>
      <c r="AM8" s="29">
        <v>0.45000000000000001</v>
      </c>
      <c r="AN8" s="29"/>
      <c r="AO8" s="29"/>
      <c r="AP8" s="29"/>
      <c r="AQ8" s="29" t="b">
        <v>1</v>
      </c>
      <c r="AR8" s="29"/>
      <c r="AS8" s="17"/>
      <c r="AT8" s="17"/>
    </row>
    <row r="9" customFormat="true" s="17">
      <c r="A9" s="26" t="s">
        <v>49</v>
      </c>
      <c r="B9" s="26" t="s">
        <v>51</v>
      </c>
      <c r="C9" s="26">
        <v>875</v>
      </c>
      <c r="D9" s="26">
        <v>453</v>
      </c>
      <c r="E9" s="27">
        <v>3</v>
      </c>
      <c r="F9" s="28">
        <v>4</v>
      </c>
      <c r="G9" s="1">
        <v>875</v>
      </c>
      <c r="H9" s="1">
        <v>453</v>
      </c>
      <c r="I9" s="26" t="s">
        <v>14</v>
      </c>
      <c r="J9" s="26" t="s">
        <v>48</v>
      </c>
      <c r="K9" s="26" t="s">
        <v>262</v>
      </c>
      <c r="L9" s="26" t="s">
        <v>263</v>
      </c>
      <c r="M9" s="17" t="str">
        <f ca="1">IF(ISBLANK(AI9), "-", AI9)</f>
        <v>-</v>
      </c>
      <c r="N9" s="17" t="str">
        <f ca="1">IF(ISBLANK(AK9), "-", AK9)</f>
        <v>-</v>
      </c>
      <c r="O9" s="17" t="str">
        <f ca="1">IF(ISBLANK(AL9), "-", AL9)</f>
        <v>-</v>
      </c>
      <c r="P9" s="17" t="str">
        <f ca="1">IF(ISBLANK(AJ9), "-", AJ9)</f>
        <v>-</v>
      </c>
      <c r="Q9" s="29" t="str">
        <f ca="1">IF(ISBLANK(AM9), "-", AM9)</f>
        <v>-</v>
      </c>
      <c r="R9" s="29" t="str">
        <f ca="1">IF(ISBLANK(AN9), "-", AN9)</f>
        <v>-</v>
      </c>
      <c r="S9" s="29" t="str">
        <f ca="1">IF(ISBLANK(AO9), "-", AO9)</f>
        <v>-</v>
      </c>
      <c r="T9" s="29" t="str">
        <f ca="1">IF(ISBLANK(AP9), "-", AP9)</f>
        <v>-</v>
      </c>
      <c r="U9" s="29">
        <f ca="1">IF(AQ9, 1, 0)</f>
        <v>1</v>
      </c>
      <c r="V9" s="17">
        <v>3</v>
      </c>
      <c r="W9" s="17"/>
      <c r="X9" s="17" t="s">
        <v>270</v>
      </c>
      <c r="Y9" s="17"/>
      <c r="Z9" s="17">
        <v>1</v>
      </c>
      <c r="AA9" s="29" t="str">
        <f ca="1">InverseAxis(V9, W9)</f>
        <v>#NAME?</v>
      </c>
      <c r="AB9" s="26">
        <v>875</v>
      </c>
      <c r="AC9" s="26">
        <v>453</v>
      </c>
      <c r="AD9" s="29">
        <v>3</v>
      </c>
      <c r="AE9" s="30" t="s">
        <v>265</v>
      </c>
      <c r="AF9" s="30" t="s">
        <v>265</v>
      </c>
      <c r="AG9" s="30" t="s">
        <v>265</v>
      </c>
      <c r="AH9" s="30" t="s">
        <v>265</v>
      </c>
      <c r="AI9" s="17"/>
      <c r="AJ9" s="17"/>
      <c r="AK9" s="17"/>
      <c r="AL9" s="17"/>
      <c r="AM9" s="29"/>
      <c r="AN9" s="29"/>
      <c r="AO9" s="29"/>
      <c r="AP9" s="29"/>
      <c r="AQ9" s="29" t="b">
        <v>1</v>
      </c>
      <c r="AR9" s="29"/>
      <c r="AS9" s="17"/>
      <c r="AT9" s="17"/>
    </row>
    <row r="10" customFormat="true" s="17">
      <c r="A10" s="26" t="s">
        <v>63</v>
      </c>
      <c r="B10" s="26" t="s">
        <v>22</v>
      </c>
      <c r="C10" s="26">
        <v>1900</v>
      </c>
      <c r="D10" s="26">
        <v>362</v>
      </c>
      <c r="E10" s="27">
        <v>18</v>
      </c>
      <c r="F10" s="28">
        <v>1</v>
      </c>
      <c r="G10" s="1">
        <v>1900</v>
      </c>
      <c r="H10" s="1">
        <v>362</v>
      </c>
      <c r="I10" s="26" t="s">
        <v>14</v>
      </c>
      <c r="J10" s="26" t="s">
        <v>62</v>
      </c>
      <c r="K10" s="26" t="s">
        <v>271</v>
      </c>
      <c r="L10" s="26" t="s">
        <v>272</v>
      </c>
      <c r="M10" s="17" t="str">
        <f ca="1">IF(ISBLANK(AI10), "-", AI10)</f>
        <v>-</v>
      </c>
      <c r="N10" s="17" t="str">
        <f ca="1">IF(ISBLANK(AK10), "-", AK10)</f>
        <v>-</v>
      </c>
      <c r="O10" s="17" t="str">
        <f ca="1">IF(ISBLANK(AL10), "-", AL10)</f>
        <v>PVC edge band PVC 1</v>
      </c>
      <c r="P10" s="17" t="str">
        <f ca="1">IF(ISBLANK(AJ10), "-", AJ10)</f>
        <v>PVC edge band PVC 1</v>
      </c>
      <c r="Q10" s="29" t="str">
        <f ca="1">IF(ISBLANK(AM10), "-", AM10)</f>
        <v>-</v>
      </c>
      <c r="R10" s="29" t="str">
        <f ca="1">IF(ISBLANK(AN10), "-", AN10)</f>
        <v>-</v>
      </c>
      <c r="S10" s="29">
        <f ca="1">IF(ISBLANK(AO10), "-", AO10)</f>
        <v>0.45000000000000001</v>
      </c>
      <c r="T10" s="29">
        <f ca="1">IF(ISBLANK(AP10), "-", AP10)</f>
        <v>0.45000000000000001</v>
      </c>
      <c r="U10" s="29">
        <f ca="1">IF(AQ10, 1, 0)</f>
        <v>1</v>
      </c>
      <c r="V10" s="17">
        <v>5</v>
      </c>
      <c r="W10" s="17"/>
      <c r="X10" s="17" t="s">
        <v>273</v>
      </c>
      <c r="Y10" s="17"/>
      <c r="Z10" s="17">
        <v>1</v>
      </c>
      <c r="AA10" s="29" t="str">
        <f ca="1">InverseAxis(V10, W10)</f>
        <v>#NAME?</v>
      </c>
      <c r="AB10" s="26">
        <v>1901</v>
      </c>
      <c r="AC10" s="26">
        <v>362</v>
      </c>
      <c r="AD10" s="29">
        <v>18</v>
      </c>
      <c r="AE10" s="30" t="s">
        <v>265</v>
      </c>
      <c r="AF10" s="30" t="s">
        <v>265</v>
      </c>
      <c r="AG10" s="30" t="s">
        <v>265</v>
      </c>
      <c r="AH10" s="30" t="s">
        <v>265</v>
      </c>
      <c r="AI10" s="17"/>
      <c r="AJ10" s="17" t="s">
        <v>266</v>
      </c>
      <c r="AK10" s="17"/>
      <c r="AL10" s="17" t="s">
        <v>266</v>
      </c>
      <c r="AM10" s="29"/>
      <c r="AN10" s="29"/>
      <c r="AO10" s="29">
        <v>0.45000000000000001</v>
      </c>
      <c r="AP10" s="29">
        <v>0.45000000000000001</v>
      </c>
      <c r="AQ10" s="29" t="b">
        <v>1</v>
      </c>
      <c r="AR10" s="29"/>
      <c r="AS10" s="17"/>
      <c r="AT10" s="17"/>
    </row>
    <row r="11" customFormat="true" s="17">
      <c r="A11" s="26" t="s">
        <v>69</v>
      </c>
      <c r="B11" s="26" t="s">
        <v>22</v>
      </c>
      <c r="C11" s="26">
        <v>1054</v>
      </c>
      <c r="D11" s="26">
        <v>362</v>
      </c>
      <c r="E11" s="27">
        <v>18</v>
      </c>
      <c r="F11" s="28">
        <v>1</v>
      </c>
      <c r="G11" s="1">
        <v>1054</v>
      </c>
      <c r="H11" s="1">
        <v>362</v>
      </c>
      <c r="I11" s="26" t="s">
        <v>14</v>
      </c>
      <c r="J11" s="26" t="s">
        <v>68</v>
      </c>
      <c r="K11" s="26" t="s">
        <v>271</v>
      </c>
      <c r="L11" s="26" t="s">
        <v>272</v>
      </c>
      <c r="M11" s="17" t="str">
        <f ca="1">IF(ISBLANK(AI11), "-", AI11)</f>
        <v>-</v>
      </c>
      <c r="N11" s="17" t="str">
        <f ca="1">IF(ISBLANK(AK11), "-", AK11)</f>
        <v>-</v>
      </c>
      <c r="O11" s="17" t="str">
        <f ca="1">IF(ISBLANK(AL11), "-", AL11)</f>
        <v>-</v>
      </c>
      <c r="P11" s="17" t="str">
        <f ca="1">IF(ISBLANK(AJ11), "-", AJ11)</f>
        <v>-</v>
      </c>
      <c r="Q11" s="29" t="str">
        <f ca="1">IF(ISBLANK(AM11), "-", AM11)</f>
        <v>-</v>
      </c>
      <c r="R11" s="29" t="str">
        <f ca="1">IF(ISBLANK(AN11), "-", AN11)</f>
        <v>-</v>
      </c>
      <c r="S11" s="29" t="str">
        <f ca="1">IF(ISBLANK(AO11), "-", AO11)</f>
        <v>-</v>
      </c>
      <c r="T11" s="29" t="str">
        <f ca="1">IF(ISBLANK(AP11), "-", AP11)</f>
        <v>-</v>
      </c>
      <c r="U11" s="29">
        <f ca="1">IF(AQ11, 1, 0)</f>
        <v>1</v>
      </c>
      <c r="V11" s="17">
        <v>4</v>
      </c>
      <c r="W11" s="17">
        <v>8</v>
      </c>
      <c r="X11" s="17" t="s">
        <v>274</v>
      </c>
      <c r="Y11" s="17" t="s">
        <v>275</v>
      </c>
      <c r="Z11" s="17">
        <v>2</v>
      </c>
      <c r="AA11" s="29" t="str">
        <f ca="1">InverseAxis(V11, W11)</f>
        <v>#NAME?</v>
      </c>
      <c r="AB11" s="26">
        <v>1054</v>
      </c>
      <c r="AC11" s="26">
        <v>362</v>
      </c>
      <c r="AD11" s="29">
        <v>18</v>
      </c>
      <c r="AE11" s="30" t="s">
        <v>265</v>
      </c>
      <c r="AF11" s="30" t="s">
        <v>265</v>
      </c>
      <c r="AG11" s="30" t="s">
        <v>265</v>
      </c>
      <c r="AH11" s="30" t="s">
        <v>265</v>
      </c>
      <c r="AI11" s="17"/>
      <c r="AJ11" s="17"/>
      <c r="AK11" s="17"/>
      <c r="AL11" s="17"/>
      <c r="AM11" s="29"/>
      <c r="AN11" s="29"/>
      <c r="AO11" s="29"/>
      <c r="AP11" s="29"/>
      <c r="AQ11" s="29" t="b">
        <v>1</v>
      </c>
      <c r="AR11" s="29"/>
      <c r="AS11" s="17"/>
      <c r="AT11" s="17"/>
    </row>
    <row r="12" customFormat="true" s="17">
      <c r="A12" s="26" t="s">
        <v>73</v>
      </c>
      <c r="B12" s="26" t="s">
        <v>22</v>
      </c>
      <c r="C12" s="26">
        <v>500</v>
      </c>
      <c r="D12" s="26">
        <v>362</v>
      </c>
      <c r="E12" s="27">
        <v>18</v>
      </c>
      <c r="F12" s="28">
        <v>1</v>
      </c>
      <c r="G12" s="1">
        <v>500</v>
      </c>
      <c r="H12" s="1">
        <v>362</v>
      </c>
      <c r="I12" s="26" t="s">
        <v>14</v>
      </c>
      <c r="J12" s="26" t="s">
        <v>72</v>
      </c>
      <c r="K12" s="26" t="s">
        <v>271</v>
      </c>
      <c r="L12" s="26" t="s">
        <v>272</v>
      </c>
      <c r="M12" s="17" t="str">
        <f ca="1">IF(ISBLANK(AI12), "-", AI12)</f>
        <v>-</v>
      </c>
      <c r="N12" s="17" t="str">
        <f ca="1">IF(ISBLANK(AK12), "-", AK12)</f>
        <v>-</v>
      </c>
      <c r="O12" s="17" t="str">
        <f ca="1">IF(ISBLANK(AL12), "-", AL12)</f>
        <v>PVC edge band PVC 1</v>
      </c>
      <c r="P12" s="17" t="str">
        <f ca="1">IF(ISBLANK(AJ12), "-", AJ12)</f>
        <v>-</v>
      </c>
      <c r="Q12" s="29" t="str">
        <f ca="1">IF(ISBLANK(AM12), "-", AM12)</f>
        <v>-</v>
      </c>
      <c r="R12" s="29" t="str">
        <f ca="1">IF(ISBLANK(AN12), "-", AN12)</f>
        <v>-</v>
      </c>
      <c r="S12" s="29">
        <f ca="1">IF(ISBLANK(AO12), "-", AO12)</f>
        <v>0.45000000000000001</v>
      </c>
      <c r="T12" s="29" t="str">
        <f ca="1">IF(ISBLANK(AP12), "-", AP12)</f>
        <v>-</v>
      </c>
      <c r="U12" s="29">
        <f ca="1">IF(AQ12, 1, 0)</f>
        <v>1</v>
      </c>
      <c r="V12" s="17">
        <v>6</v>
      </c>
      <c r="W12" s="17">
        <v>2</v>
      </c>
      <c r="X12" s="17" t="s">
        <v>276</v>
      </c>
      <c r="Y12" s="17" t="s">
        <v>277</v>
      </c>
      <c r="Z12" s="17">
        <v>2</v>
      </c>
      <c r="AA12" s="29" t="str">
        <f ca="1">InverseAxis(V12, W12)</f>
        <v>#NAME?</v>
      </c>
      <c r="AB12" s="26">
        <v>500</v>
      </c>
      <c r="AC12" s="26">
        <v>362</v>
      </c>
      <c r="AD12" s="29">
        <v>18</v>
      </c>
      <c r="AE12" s="30" t="s">
        <v>265</v>
      </c>
      <c r="AF12" s="30" t="s">
        <v>265</v>
      </c>
      <c r="AG12" s="30" t="s">
        <v>265</v>
      </c>
      <c r="AH12" s="30" t="s">
        <v>265</v>
      </c>
      <c r="AI12" s="17"/>
      <c r="AJ12" s="17"/>
      <c r="AK12" s="17"/>
      <c r="AL12" s="17" t="s">
        <v>266</v>
      </c>
      <c r="AM12" s="29"/>
      <c r="AN12" s="29"/>
      <c r="AO12" s="29">
        <v>0.45000000000000001</v>
      </c>
      <c r="AP12" s="29"/>
      <c r="AQ12" s="29" t="b">
        <v>1</v>
      </c>
      <c r="AR12" s="29"/>
      <c r="AS12" s="17"/>
      <c r="AT12" s="17"/>
    </row>
    <row r="13" customFormat="true" s="17">
      <c r="A13" s="26" t="s">
        <v>78</v>
      </c>
      <c r="B13" s="26" t="s">
        <v>22</v>
      </c>
      <c r="C13" s="26">
        <v>252</v>
      </c>
      <c r="D13" s="26">
        <v>362</v>
      </c>
      <c r="E13" s="27">
        <v>18</v>
      </c>
      <c r="F13" s="28">
        <v>1</v>
      </c>
      <c r="G13" s="1">
        <v>252</v>
      </c>
      <c r="H13" s="1">
        <v>362</v>
      </c>
      <c r="I13" s="26" t="s">
        <v>14</v>
      </c>
      <c r="J13" s="26" t="s">
        <v>77</v>
      </c>
      <c r="K13" s="26" t="s">
        <v>271</v>
      </c>
      <c r="L13" s="26" t="s">
        <v>272</v>
      </c>
      <c r="M13" s="17" t="str">
        <f ca="1">IF(ISBLANK(AI13), "-", AI13)</f>
        <v>-</v>
      </c>
      <c r="N13" s="17" t="str">
        <f ca="1">IF(ISBLANK(AK13), "-", AK13)</f>
        <v>-</v>
      </c>
      <c r="O13" s="17" t="str">
        <f ca="1">IF(ISBLANK(AL13), "-", AL13)</f>
        <v>-</v>
      </c>
      <c r="P13" s="17" t="str">
        <f ca="1">IF(ISBLANK(AJ13), "-", AJ13)</f>
        <v>-</v>
      </c>
      <c r="Q13" s="29" t="str">
        <f ca="1">IF(ISBLANK(AM13), "-", AM13)</f>
        <v>-</v>
      </c>
      <c r="R13" s="29" t="str">
        <f ca="1">IF(ISBLANK(AN13), "-", AN13)</f>
        <v>-</v>
      </c>
      <c r="S13" s="29" t="str">
        <f ca="1">IF(ISBLANK(AO13), "-", AO13)</f>
        <v>-</v>
      </c>
      <c r="T13" s="29" t="str">
        <f ca="1">IF(ISBLANK(AP13), "-", AP13)</f>
        <v>-</v>
      </c>
      <c r="U13" s="29">
        <f ca="1">IF(AQ13, 1, 0)</f>
        <v>1</v>
      </c>
      <c r="V13" s="17">
        <v>3</v>
      </c>
      <c r="W13" s="17">
        <v>7</v>
      </c>
      <c r="X13" s="17" t="s">
        <v>278</v>
      </c>
      <c r="Y13" s="17" t="s">
        <v>279</v>
      </c>
      <c r="Z13" s="17">
        <v>2</v>
      </c>
      <c r="AA13" s="29" t="str">
        <f ca="1">InverseAxis(V13, W13)</f>
        <v>#NAME?</v>
      </c>
      <c r="AB13" s="26">
        <v>362</v>
      </c>
      <c r="AC13" s="26">
        <v>252</v>
      </c>
      <c r="AD13" s="29">
        <v>18</v>
      </c>
      <c r="AE13" s="30" t="s">
        <v>265</v>
      </c>
      <c r="AF13" s="30" t="s">
        <v>265</v>
      </c>
      <c r="AG13" s="30" t="s">
        <v>265</v>
      </c>
      <c r="AH13" s="30" t="s">
        <v>265</v>
      </c>
      <c r="AI13" s="17"/>
      <c r="AJ13" s="17"/>
      <c r="AK13" s="17"/>
      <c r="AL13" s="17"/>
      <c r="AM13" s="29"/>
      <c r="AN13" s="29"/>
      <c r="AO13" s="29"/>
      <c r="AP13" s="29"/>
      <c r="AQ13" s="29" t="b">
        <v>1</v>
      </c>
      <c r="AR13" s="29"/>
      <c r="AS13" s="17"/>
      <c r="AT13" s="17"/>
    </row>
    <row r="14" customFormat="true" s="17">
      <c r="A14" s="26" t="s">
        <v>82</v>
      </c>
      <c r="B14" s="26" t="s">
        <v>22</v>
      </c>
      <c r="C14" s="26">
        <v>1400</v>
      </c>
      <c r="D14" s="26">
        <v>498</v>
      </c>
      <c r="E14" s="27">
        <v>25</v>
      </c>
      <c r="F14" s="28">
        <v>1</v>
      </c>
      <c r="G14" s="1">
        <v>1400</v>
      </c>
      <c r="H14" s="1">
        <v>498</v>
      </c>
      <c r="I14" s="26" t="s">
        <v>14</v>
      </c>
      <c r="J14" s="26" t="s">
        <v>81</v>
      </c>
      <c r="K14" s="26" t="s">
        <v>280</v>
      </c>
      <c r="L14" s="26" t="s">
        <v>281</v>
      </c>
      <c r="M14" s="17" t="str">
        <f ca="1">IF(ISBLANK(AI14), "-", AI14)</f>
        <v>-</v>
      </c>
      <c r="N14" s="17" t="str">
        <f ca="1">IF(ISBLANK(AK14), "-", AK14)</f>
        <v>PVC edge band PVC 1</v>
      </c>
      <c r="O14" s="17" t="str">
        <f ca="1">IF(ISBLANK(AL14), "-", AL14)</f>
        <v>PVC edge band PVC 1</v>
      </c>
      <c r="P14" s="17" t="str">
        <f ca="1">IF(ISBLANK(AJ14), "-", AJ14)</f>
        <v>PVC edge band PVC 1</v>
      </c>
      <c r="Q14" s="29" t="str">
        <f ca="1">IF(ISBLANK(AM14), "-", AM14)</f>
        <v>-</v>
      </c>
      <c r="R14" s="29">
        <f ca="1">IF(ISBLANK(AN14), "-", AN14)</f>
        <v>2</v>
      </c>
      <c r="S14" s="29">
        <f ca="1">IF(ISBLANK(AO14), "-", AO14)</f>
        <v>2</v>
      </c>
      <c r="T14" s="29">
        <f ca="1">IF(ISBLANK(AP14), "-", AP14)</f>
        <v>2</v>
      </c>
      <c r="U14" s="29">
        <f ca="1">IF(AQ14, 1, 0)</f>
        <v>1</v>
      </c>
      <c r="V14" s="17">
        <v>6</v>
      </c>
      <c r="W14" s="17">
        <v>3</v>
      </c>
      <c r="X14" s="17" t="s">
        <v>282</v>
      </c>
      <c r="Y14" s="17" t="s">
        <v>283</v>
      </c>
      <c r="Z14" s="17">
        <v>2</v>
      </c>
      <c r="AA14" s="29" t="str">
        <f ca="1">InverseAxis(V14, W14)</f>
        <v>#NAME?</v>
      </c>
      <c r="AB14" s="26">
        <v>1404</v>
      </c>
      <c r="AC14" s="26">
        <v>500</v>
      </c>
      <c r="AD14" s="29">
        <v>25</v>
      </c>
      <c r="AE14" s="30" t="s">
        <v>265</v>
      </c>
      <c r="AF14" s="30" t="s">
        <v>265</v>
      </c>
      <c r="AG14" s="30" t="s">
        <v>265</v>
      </c>
      <c r="AH14" s="30" t="s">
        <v>265</v>
      </c>
      <c r="AI14" s="17"/>
      <c r="AJ14" s="17" t="s">
        <v>266</v>
      </c>
      <c r="AK14" s="17" t="s">
        <v>266</v>
      </c>
      <c r="AL14" s="17" t="s">
        <v>266</v>
      </c>
      <c r="AM14" s="29"/>
      <c r="AN14" s="29">
        <v>2</v>
      </c>
      <c r="AO14" s="29">
        <v>2</v>
      </c>
      <c r="AP14" s="29">
        <v>2</v>
      </c>
      <c r="AQ14" s="29" t="b">
        <v>1</v>
      </c>
      <c r="AR14" s="29"/>
      <c r="AS14" s="17"/>
      <c r="AT14" s="17"/>
    </row>
    <row r="15" customFormat="true" s="17">
      <c r="A15" s="26" t="s">
        <v>89</v>
      </c>
      <c r="B15" s="26" t="s">
        <v>22</v>
      </c>
      <c r="C15" s="26">
        <v>777</v>
      </c>
      <c r="D15" s="26">
        <v>476</v>
      </c>
      <c r="E15" s="27">
        <v>18</v>
      </c>
      <c r="F15" s="28">
        <v>1</v>
      </c>
      <c r="G15" s="1">
        <v>777</v>
      </c>
      <c r="H15" s="1">
        <v>476</v>
      </c>
      <c r="I15" s="26" t="s">
        <v>14</v>
      </c>
      <c r="J15" s="26" t="s">
        <v>88</v>
      </c>
      <c r="K15" s="26" t="s">
        <v>271</v>
      </c>
      <c r="L15" s="26" t="s">
        <v>272</v>
      </c>
      <c r="M15" s="17" t="str">
        <f ca="1">IF(ISBLANK(AI15), "-", AI15)</f>
        <v>PVC edge band PVC 1</v>
      </c>
      <c r="N15" s="17" t="str">
        <f ca="1">IF(ISBLANK(AK15), "-", AK15)</f>
        <v>-</v>
      </c>
      <c r="O15" s="17" t="str">
        <f ca="1">IF(ISBLANK(AL15), "-", AL15)</f>
        <v>-</v>
      </c>
      <c r="P15" s="17" t="str">
        <f ca="1">IF(ISBLANK(AJ15), "-", AJ15)</f>
        <v>-</v>
      </c>
      <c r="Q15" s="29">
        <f ca="1">IF(ISBLANK(AM15), "-", AM15)</f>
        <v>0.45000000000000001</v>
      </c>
      <c r="R15" s="29" t="str">
        <f ca="1">IF(ISBLANK(AN15), "-", AN15)</f>
        <v>-</v>
      </c>
      <c r="S15" s="29" t="str">
        <f ca="1">IF(ISBLANK(AO15), "-", AO15)</f>
        <v>-</v>
      </c>
      <c r="T15" s="29" t="str">
        <f ca="1">IF(ISBLANK(AP15), "-", AP15)</f>
        <v>-</v>
      </c>
      <c r="U15" s="29">
        <f ca="1">IF(AQ15, 1, 0)</f>
        <v>1</v>
      </c>
      <c r="V15" s="17">
        <v>8</v>
      </c>
      <c r="W15" s="17">
        <v>1</v>
      </c>
      <c r="X15" s="17" t="s">
        <v>284</v>
      </c>
      <c r="Y15" s="17" t="s">
        <v>285</v>
      </c>
      <c r="Z15" s="17">
        <v>2</v>
      </c>
      <c r="AA15" s="29" t="str">
        <f ca="1">InverseAxis(V15, W15)</f>
        <v>#NAME?</v>
      </c>
      <c r="AB15" s="26">
        <v>777</v>
      </c>
      <c r="AC15" s="26">
        <v>476</v>
      </c>
      <c r="AD15" s="29">
        <v>18</v>
      </c>
      <c r="AE15" s="30" t="s">
        <v>265</v>
      </c>
      <c r="AF15" s="30" t="s">
        <v>265</v>
      </c>
      <c r="AG15" s="30" t="s">
        <v>265</v>
      </c>
      <c r="AH15" s="30" t="s">
        <v>265</v>
      </c>
      <c r="AI15" s="17" t="s">
        <v>266</v>
      </c>
      <c r="AJ15" s="17"/>
      <c r="AK15" s="17"/>
      <c r="AL15" s="17"/>
      <c r="AM15" s="29">
        <v>0.45000000000000001</v>
      </c>
      <c r="AN15" s="29"/>
      <c r="AO15" s="29"/>
      <c r="AP15" s="29"/>
      <c r="AQ15" s="29" t="b">
        <v>1</v>
      </c>
      <c r="AR15" s="29"/>
      <c r="AS15" s="17"/>
      <c r="AT15" s="17"/>
    </row>
    <row r="16" customFormat="true" s="17">
      <c r="A16" s="26" t="s">
        <v>94</v>
      </c>
      <c r="B16" s="26" t="s">
        <v>22</v>
      </c>
      <c r="C16" s="26">
        <v>1400</v>
      </c>
      <c r="D16" s="26">
        <v>480</v>
      </c>
      <c r="E16" s="27">
        <v>18</v>
      </c>
      <c r="F16" s="28">
        <v>1</v>
      </c>
      <c r="G16" s="1">
        <v>1400</v>
      </c>
      <c r="H16" s="1">
        <v>480</v>
      </c>
      <c r="I16" s="26" t="s">
        <v>14</v>
      </c>
      <c r="J16" s="26" t="s">
        <v>93</v>
      </c>
      <c r="K16" s="26" t="s">
        <v>271</v>
      </c>
      <c r="L16" s="26" t="s">
        <v>272</v>
      </c>
      <c r="M16" s="17" t="str">
        <f ca="1">IF(ISBLANK(AI16), "-", AI16)</f>
        <v>-</v>
      </c>
      <c r="N16" s="17" t="str">
        <f ca="1">IF(ISBLANK(AK16), "-", AK16)</f>
        <v>-</v>
      </c>
      <c r="O16" s="17" t="str">
        <f ca="1">IF(ISBLANK(AL16), "-", AL16)</f>
        <v>PVC edge band PVC 1</v>
      </c>
      <c r="P16" s="17" t="str">
        <f ca="1">IF(ISBLANK(AJ16), "-", AJ16)</f>
        <v>PVC edge band PVC 1</v>
      </c>
      <c r="Q16" s="29" t="str">
        <f ca="1">IF(ISBLANK(AM16), "-", AM16)</f>
        <v>-</v>
      </c>
      <c r="R16" s="29" t="str">
        <f ca="1">IF(ISBLANK(AN16), "-", AN16)</f>
        <v>-</v>
      </c>
      <c r="S16" s="29">
        <f ca="1">IF(ISBLANK(AO16), "-", AO16)</f>
        <v>0.45000000000000001</v>
      </c>
      <c r="T16" s="29">
        <f ca="1">IF(ISBLANK(AP16), "-", AP16)</f>
        <v>0.45000000000000001</v>
      </c>
      <c r="U16" s="29">
        <f ca="1">IF(AQ16, 1, 0)</f>
        <v>1</v>
      </c>
      <c r="V16" s="17">
        <v>5</v>
      </c>
      <c r="W16" s="17"/>
      <c r="X16" s="17" t="s">
        <v>286</v>
      </c>
      <c r="Y16" s="17"/>
      <c r="Z16" s="17">
        <v>1</v>
      </c>
      <c r="AA16" s="29" t="str">
        <f ca="1">InverseAxis(V16, W16)</f>
        <v>#NAME?</v>
      </c>
      <c r="AB16" s="26">
        <v>1401</v>
      </c>
      <c r="AC16" s="26">
        <v>480</v>
      </c>
      <c r="AD16" s="29">
        <v>18</v>
      </c>
      <c r="AE16" s="30" t="s">
        <v>265</v>
      </c>
      <c r="AF16" s="30" t="s">
        <v>265</v>
      </c>
      <c r="AG16" s="30" t="s">
        <v>265</v>
      </c>
      <c r="AH16" s="30" t="s">
        <v>265</v>
      </c>
      <c r="AI16" s="17"/>
      <c r="AJ16" s="17" t="s">
        <v>266</v>
      </c>
      <c r="AK16" s="17"/>
      <c r="AL16" s="17" t="s">
        <v>266</v>
      </c>
      <c r="AM16" s="29"/>
      <c r="AN16" s="29"/>
      <c r="AO16" s="29">
        <v>0.45000000000000001</v>
      </c>
      <c r="AP16" s="29">
        <v>0.45000000000000001</v>
      </c>
      <c r="AQ16" s="29" t="b">
        <v>1</v>
      </c>
      <c r="AR16" s="29"/>
      <c r="AS16" s="17"/>
      <c r="AT16" s="17"/>
    </row>
    <row r="17" customFormat="true" s="17">
      <c r="A17" s="26" t="s">
        <v>100</v>
      </c>
      <c r="B17" s="26" t="s">
        <v>22</v>
      </c>
      <c r="C17" s="26">
        <v>777</v>
      </c>
      <c r="D17" s="26">
        <v>480</v>
      </c>
      <c r="E17" s="27">
        <v>18</v>
      </c>
      <c r="F17" s="28">
        <v>1</v>
      </c>
      <c r="G17" s="1">
        <v>777</v>
      </c>
      <c r="H17" s="1">
        <v>480</v>
      </c>
      <c r="I17" s="26" t="s">
        <v>14</v>
      </c>
      <c r="J17" s="26" t="s">
        <v>99</v>
      </c>
      <c r="K17" s="26" t="s">
        <v>271</v>
      </c>
      <c r="L17" s="26" t="s">
        <v>272</v>
      </c>
      <c r="M17" s="17" t="str">
        <f ca="1">IF(ISBLANK(AI17), "-", AI17)</f>
        <v>-</v>
      </c>
      <c r="N17" s="17" t="str">
        <f ca="1">IF(ISBLANK(AK17), "-", AK17)</f>
        <v>-</v>
      </c>
      <c r="O17" s="17" t="str">
        <f ca="1">IF(ISBLANK(AL17), "-", AL17)</f>
        <v>-</v>
      </c>
      <c r="P17" s="17" t="str">
        <f ca="1">IF(ISBLANK(AJ17), "-", AJ17)</f>
        <v>-</v>
      </c>
      <c r="Q17" s="29" t="str">
        <f ca="1">IF(ISBLANK(AM17), "-", AM17)</f>
        <v>-</v>
      </c>
      <c r="R17" s="29" t="str">
        <f ca="1">IF(ISBLANK(AN17), "-", AN17)</f>
        <v>-</v>
      </c>
      <c r="S17" s="29" t="str">
        <f ca="1">IF(ISBLANK(AO17), "-", AO17)</f>
        <v>-</v>
      </c>
      <c r="T17" s="29" t="str">
        <f ca="1">IF(ISBLANK(AP17), "-", AP17)</f>
        <v>-</v>
      </c>
      <c r="U17" s="29">
        <f ca="1">IF(AQ17, 1, 0)</f>
        <v>1</v>
      </c>
      <c r="V17" s="17">
        <v>2</v>
      </c>
      <c r="W17" s="17">
        <v>6</v>
      </c>
      <c r="X17" s="17" t="s">
        <v>287</v>
      </c>
      <c r="Y17" s="17" t="s">
        <v>288</v>
      </c>
      <c r="Z17" s="17">
        <v>2</v>
      </c>
      <c r="AA17" s="29" t="str">
        <f ca="1">InverseAxis(V17, W17)</f>
        <v>#NAME?</v>
      </c>
      <c r="AB17" s="26">
        <v>777</v>
      </c>
      <c r="AC17" s="26">
        <v>480</v>
      </c>
      <c r="AD17" s="29">
        <v>18</v>
      </c>
      <c r="AE17" s="30" t="s">
        <v>265</v>
      </c>
      <c r="AF17" s="30" t="s">
        <v>265</v>
      </c>
      <c r="AG17" s="30" t="s">
        <v>265</v>
      </c>
      <c r="AH17" s="30" t="s">
        <v>265</v>
      </c>
      <c r="AI17" s="17"/>
      <c r="AJ17" s="17"/>
      <c r="AK17" s="17"/>
      <c r="AL17" s="17"/>
      <c r="AM17" s="29"/>
      <c r="AN17" s="29"/>
      <c r="AO17" s="29"/>
      <c r="AP17" s="29"/>
      <c r="AQ17" s="29" t="b">
        <v>1</v>
      </c>
      <c r="AR17" s="29"/>
      <c r="AS17" s="17"/>
      <c r="AT17" s="17"/>
    </row>
    <row r="18" customFormat="true" s="17">
      <c r="A18" s="26" t="s">
        <v>104</v>
      </c>
      <c r="B18" s="26" t="s">
        <v>22</v>
      </c>
      <c r="C18" s="26">
        <v>777</v>
      </c>
      <c r="D18" s="26">
        <v>476</v>
      </c>
      <c r="E18" s="27">
        <v>18</v>
      </c>
      <c r="F18" s="28">
        <v>1</v>
      </c>
      <c r="G18" s="1">
        <v>777</v>
      </c>
      <c r="H18" s="1">
        <v>476</v>
      </c>
      <c r="I18" s="26" t="s">
        <v>14</v>
      </c>
      <c r="J18" s="26" t="s">
        <v>103</v>
      </c>
      <c r="K18" s="26" t="s">
        <v>271</v>
      </c>
      <c r="L18" s="26" t="s">
        <v>272</v>
      </c>
      <c r="M18" s="17" t="str">
        <f ca="1">IF(ISBLANK(AI18), "-", AI18)</f>
        <v>-</v>
      </c>
      <c r="N18" s="17" t="str">
        <f ca="1">IF(ISBLANK(AK18), "-", AK18)</f>
        <v>PVC edge band PVC 1</v>
      </c>
      <c r="O18" s="17" t="str">
        <f ca="1">IF(ISBLANK(AL18), "-", AL18)</f>
        <v>-</v>
      </c>
      <c r="P18" s="17" t="str">
        <f ca="1">IF(ISBLANK(AJ18), "-", AJ18)</f>
        <v>-</v>
      </c>
      <c r="Q18" s="29" t="str">
        <f ca="1">IF(ISBLANK(AM18), "-", AM18)</f>
        <v>-</v>
      </c>
      <c r="R18" s="29">
        <f ca="1">IF(ISBLANK(AN18), "-", AN18)</f>
        <v>0.45000000000000001</v>
      </c>
      <c r="S18" s="29" t="str">
        <f ca="1">IF(ISBLANK(AO18), "-", AO18)</f>
        <v>-</v>
      </c>
      <c r="T18" s="29" t="str">
        <f ca="1">IF(ISBLANK(AP18), "-", AP18)</f>
        <v>-</v>
      </c>
      <c r="U18" s="29">
        <f ca="1">IF(AQ18, 1, 0)</f>
        <v>1</v>
      </c>
      <c r="V18" s="17">
        <v>6</v>
      </c>
      <c r="W18" s="17">
        <v>3</v>
      </c>
      <c r="X18" s="17" t="s">
        <v>289</v>
      </c>
      <c r="Y18" s="17" t="s">
        <v>290</v>
      </c>
      <c r="Z18" s="17">
        <v>2</v>
      </c>
      <c r="AA18" s="29" t="str">
        <f ca="1">InverseAxis(V18, W18)</f>
        <v>#NAME?</v>
      </c>
      <c r="AB18" s="26">
        <v>777</v>
      </c>
      <c r="AC18" s="26">
        <v>476</v>
      </c>
      <c r="AD18" s="29">
        <v>18</v>
      </c>
      <c r="AE18" s="30" t="s">
        <v>265</v>
      </c>
      <c r="AF18" s="30" t="s">
        <v>265</v>
      </c>
      <c r="AG18" s="30" t="s">
        <v>265</v>
      </c>
      <c r="AH18" s="30" t="s">
        <v>265</v>
      </c>
      <c r="AI18" s="17"/>
      <c r="AJ18" s="17"/>
      <c r="AK18" s="17" t="s">
        <v>266</v>
      </c>
      <c r="AL18" s="17"/>
      <c r="AM18" s="29"/>
      <c r="AN18" s="29">
        <v>0.45000000000000001</v>
      </c>
      <c r="AO18" s="29"/>
      <c r="AP18" s="29"/>
      <c r="AQ18" s="29" t="b">
        <v>1</v>
      </c>
      <c r="AR18" s="29"/>
      <c r="AS18" s="17"/>
      <c r="AT18" s="17"/>
    </row>
    <row r="19" customFormat="true" s="17">
      <c r="A19" s="26" t="s">
        <v>109</v>
      </c>
      <c r="B19" s="26" t="s">
        <v>22</v>
      </c>
      <c r="C19" s="26">
        <v>1900</v>
      </c>
      <c r="D19" s="26">
        <v>70</v>
      </c>
      <c r="E19" s="27">
        <v>18</v>
      </c>
      <c r="F19" s="28">
        <v>1</v>
      </c>
      <c r="G19" s="1">
        <v>1900</v>
      </c>
      <c r="H19" s="1">
        <v>70</v>
      </c>
      <c r="I19" s="26" t="s">
        <v>14</v>
      </c>
      <c r="J19" s="26" t="s">
        <v>108</v>
      </c>
      <c r="K19" s="26" t="s">
        <v>271</v>
      </c>
      <c r="L19" s="26" t="s">
        <v>272</v>
      </c>
      <c r="M19" s="17" t="str">
        <f ca="1">IF(ISBLANK(AI19), "-", AI19)</f>
        <v>PVC edge band PVC 1</v>
      </c>
      <c r="N19" s="17" t="str">
        <f ca="1">IF(ISBLANK(AK19), "-", AK19)</f>
        <v>PVC edge band PVC 1</v>
      </c>
      <c r="O19" s="17" t="str">
        <f ca="1">IF(ISBLANK(AL19), "-", AL19)</f>
        <v>PVC edge band PVC 1</v>
      </c>
      <c r="P19" s="17" t="str">
        <f ca="1">IF(ISBLANK(AJ19), "-", AJ19)</f>
        <v>PVC edge band PVC 1</v>
      </c>
      <c r="Q19" s="29">
        <f ca="1">IF(ISBLANK(AM19), "-", AM19)</f>
        <v>0.45000000000000001</v>
      </c>
      <c r="R19" s="29">
        <f ca="1">IF(ISBLANK(AN19), "-", AN19)</f>
        <v>0.45000000000000001</v>
      </c>
      <c r="S19" s="29">
        <f ca="1">IF(ISBLANK(AO19), "-", AO19)</f>
        <v>0.45000000000000001</v>
      </c>
      <c r="T19" s="29">
        <f ca="1">IF(ISBLANK(AP19), "-", AP19)</f>
        <v>0.45000000000000001</v>
      </c>
      <c r="U19" s="29">
        <f ca="1">IF(AQ19, 1, 0)</f>
        <v>1</v>
      </c>
      <c r="V19" s="17">
        <v>6</v>
      </c>
      <c r="W19" s="17"/>
      <c r="X19" s="17" t="s">
        <v>291</v>
      </c>
      <c r="Y19" s="17"/>
      <c r="Z19" s="17">
        <v>1</v>
      </c>
      <c r="AA19" s="29" t="str">
        <f ca="1">InverseAxis(V19, W19)</f>
        <v>#NAME?</v>
      </c>
      <c r="AB19" s="26">
        <v>1901</v>
      </c>
      <c r="AC19" s="26">
        <v>71</v>
      </c>
      <c r="AD19" s="29">
        <v>18</v>
      </c>
      <c r="AE19" s="30" t="s">
        <v>265</v>
      </c>
      <c r="AF19" s="30" t="s">
        <v>265</v>
      </c>
      <c r="AG19" s="30" t="s">
        <v>265</v>
      </c>
      <c r="AH19" s="30" t="s">
        <v>265</v>
      </c>
      <c r="AI19" s="17" t="s">
        <v>266</v>
      </c>
      <c r="AJ19" s="17" t="s">
        <v>266</v>
      </c>
      <c r="AK19" s="17" t="s">
        <v>266</v>
      </c>
      <c r="AL19" s="17" t="s">
        <v>266</v>
      </c>
      <c r="AM19" s="29">
        <v>0.45000000000000001</v>
      </c>
      <c r="AN19" s="29">
        <v>0.45000000000000001</v>
      </c>
      <c r="AO19" s="29">
        <v>0.45000000000000001</v>
      </c>
      <c r="AP19" s="29">
        <v>0.45000000000000001</v>
      </c>
      <c r="AQ19" s="29" t="b">
        <v>1</v>
      </c>
      <c r="AR19" s="29"/>
      <c r="AS19" s="17"/>
      <c r="AT19" s="17"/>
    </row>
    <row r="20" customFormat="true" s="17">
      <c r="A20" s="26" t="s">
        <v>117</v>
      </c>
      <c r="B20" s="26" t="s">
        <v>22</v>
      </c>
      <c r="C20" s="26">
        <v>950</v>
      </c>
      <c r="D20" s="26">
        <v>70</v>
      </c>
      <c r="E20" s="27">
        <v>18</v>
      </c>
      <c r="F20" s="28">
        <v>1</v>
      </c>
      <c r="G20" s="1">
        <v>950</v>
      </c>
      <c r="H20" s="1">
        <v>70</v>
      </c>
      <c r="I20" s="26" t="s">
        <v>14</v>
      </c>
      <c r="J20" s="26" t="s">
        <v>116</v>
      </c>
      <c r="K20" s="26" t="s">
        <v>271</v>
      </c>
      <c r="L20" s="26" t="s">
        <v>272</v>
      </c>
      <c r="M20" s="17" t="str">
        <f ca="1">IF(ISBLANK(AI20), "-", AI20)</f>
        <v>PVC edge band PVC 1</v>
      </c>
      <c r="N20" s="17" t="str">
        <f ca="1">IF(ISBLANK(AK20), "-", AK20)</f>
        <v>PVC edge band PVC 1</v>
      </c>
      <c r="O20" s="17" t="str">
        <f ca="1">IF(ISBLANK(AL20), "-", AL20)</f>
        <v>-</v>
      </c>
      <c r="P20" s="17" t="str">
        <f ca="1">IF(ISBLANK(AJ20), "-", AJ20)</f>
        <v>-</v>
      </c>
      <c r="Q20" s="29">
        <f ca="1">IF(ISBLANK(AM20), "-", AM20)</f>
        <v>0.45000000000000001</v>
      </c>
      <c r="R20" s="29">
        <f ca="1">IF(ISBLANK(AN20), "-", AN20)</f>
        <v>0.45000000000000001</v>
      </c>
      <c r="S20" s="29" t="str">
        <f ca="1">IF(ISBLANK(AO20), "-", AO20)</f>
        <v>-</v>
      </c>
      <c r="T20" s="29" t="str">
        <f ca="1">IF(ISBLANK(AP20), "-", AP20)</f>
        <v>-</v>
      </c>
      <c r="U20" s="29">
        <f ca="1">IF(AQ20, 1, 0)</f>
        <v>1</v>
      </c>
      <c r="V20" s="17">
        <v>6</v>
      </c>
      <c r="W20" s="17"/>
      <c r="X20" s="17" t="s">
        <v>292</v>
      </c>
      <c r="Y20" s="17"/>
      <c r="Z20" s="17">
        <v>1</v>
      </c>
      <c r="AA20" s="29" t="str">
        <f ca="1">InverseAxis(V20, W20)</f>
        <v>#NAME?</v>
      </c>
      <c r="AB20" s="26">
        <v>950</v>
      </c>
      <c r="AC20" s="26">
        <v>71</v>
      </c>
      <c r="AD20" s="29">
        <v>18</v>
      </c>
      <c r="AE20" s="30" t="s">
        <v>265</v>
      </c>
      <c r="AF20" s="30" t="s">
        <v>265</v>
      </c>
      <c r="AG20" s="30" t="s">
        <v>265</v>
      </c>
      <c r="AH20" s="30" t="s">
        <v>265</v>
      </c>
      <c r="AI20" s="17" t="s">
        <v>266</v>
      </c>
      <c r="AJ20" s="17"/>
      <c r="AK20" s="17" t="s">
        <v>266</v>
      </c>
      <c r="AL20" s="17"/>
      <c r="AM20" s="29">
        <v>0.45000000000000001</v>
      </c>
      <c r="AN20" s="29">
        <v>0.45000000000000001</v>
      </c>
      <c r="AO20" s="29"/>
      <c r="AP20" s="29"/>
      <c r="AQ20" s="29" t="b">
        <v>1</v>
      </c>
      <c r="AR20" s="29"/>
      <c r="AS20" s="17"/>
      <c r="AT20" s="17"/>
    </row>
    <row r="21" customFormat="true" s="17">
      <c r="A21" s="26" t="s">
        <v>123</v>
      </c>
      <c r="B21" s="26" t="s">
        <v>22</v>
      </c>
      <c r="C21" s="26">
        <v>500</v>
      </c>
      <c r="D21" s="26">
        <v>70</v>
      </c>
      <c r="E21" s="27">
        <v>18</v>
      </c>
      <c r="F21" s="28">
        <v>1</v>
      </c>
      <c r="G21" s="1">
        <v>500</v>
      </c>
      <c r="H21" s="1">
        <v>70</v>
      </c>
      <c r="I21" s="26" t="s">
        <v>14</v>
      </c>
      <c r="J21" s="26" t="s">
        <v>122</v>
      </c>
      <c r="K21" s="26" t="s">
        <v>271</v>
      </c>
      <c r="L21" s="26" t="s">
        <v>272</v>
      </c>
      <c r="M21" s="17" t="str">
        <f ca="1">IF(ISBLANK(AI21), "-", AI21)</f>
        <v>PVC edge band PVC 1</v>
      </c>
      <c r="N21" s="17" t="str">
        <f ca="1">IF(ISBLANK(AK21), "-", AK21)</f>
        <v>PVC edge band PVC 1</v>
      </c>
      <c r="O21" s="17" t="str">
        <f ca="1">IF(ISBLANK(AL21), "-", AL21)</f>
        <v>PVC edge band PVC 1</v>
      </c>
      <c r="P21" s="17" t="str">
        <f ca="1">IF(ISBLANK(AJ21), "-", AJ21)</f>
        <v>-</v>
      </c>
      <c r="Q21" s="29">
        <f ca="1">IF(ISBLANK(AM21), "-", AM21)</f>
        <v>0.45000000000000001</v>
      </c>
      <c r="R21" s="29">
        <f ca="1">IF(ISBLANK(AN21), "-", AN21)</f>
        <v>0.45000000000000001</v>
      </c>
      <c r="S21" s="29">
        <f ca="1">IF(ISBLANK(AO21), "-", AO21)</f>
        <v>0.45000000000000001</v>
      </c>
      <c r="T21" s="29" t="str">
        <f ca="1">IF(ISBLANK(AP21), "-", AP21)</f>
        <v>-</v>
      </c>
      <c r="U21" s="29">
        <f ca="1">IF(AQ21, 1, 0)</f>
        <v>1</v>
      </c>
      <c r="V21" s="17">
        <v>4</v>
      </c>
      <c r="W21" s="17"/>
      <c r="X21" s="17" t="s">
        <v>293</v>
      </c>
      <c r="Y21" s="17"/>
      <c r="Z21" s="17">
        <v>1</v>
      </c>
      <c r="AA21" s="29" t="str">
        <f ca="1">InverseAxis(V21, W21)</f>
        <v>#NAME?</v>
      </c>
      <c r="AB21" s="26">
        <v>500</v>
      </c>
      <c r="AC21" s="26">
        <v>71</v>
      </c>
      <c r="AD21" s="29">
        <v>18</v>
      </c>
      <c r="AE21" s="30" t="s">
        <v>265</v>
      </c>
      <c r="AF21" s="30" t="s">
        <v>265</v>
      </c>
      <c r="AG21" s="30" t="s">
        <v>265</v>
      </c>
      <c r="AH21" s="30" t="s">
        <v>265</v>
      </c>
      <c r="AI21" s="17" t="s">
        <v>266</v>
      </c>
      <c r="AJ21" s="17"/>
      <c r="AK21" s="17" t="s">
        <v>266</v>
      </c>
      <c r="AL21" s="17" t="s">
        <v>266</v>
      </c>
      <c r="AM21" s="29">
        <v>0.45000000000000001</v>
      </c>
      <c r="AN21" s="29">
        <v>0.45000000000000001</v>
      </c>
      <c r="AO21" s="29">
        <v>0.45000000000000001</v>
      </c>
      <c r="AP21" s="29"/>
      <c r="AQ21" s="29" t="b">
        <v>1</v>
      </c>
      <c r="AR21" s="29"/>
      <c r="AS21" s="17"/>
      <c r="AT21" s="17"/>
    </row>
    <row r="22" customFormat="true" s="17">
      <c r="A22" s="26" t="s">
        <v>130</v>
      </c>
      <c r="B22" s="26" t="s">
        <v>22</v>
      </c>
      <c r="C22" s="26">
        <v>200</v>
      </c>
      <c r="D22" s="26">
        <v>70</v>
      </c>
      <c r="E22" s="27">
        <v>18</v>
      </c>
      <c r="F22" s="28">
        <v>1</v>
      </c>
      <c r="G22" s="1">
        <v>200</v>
      </c>
      <c r="H22" s="1">
        <v>70</v>
      </c>
      <c r="I22" s="26" t="s">
        <v>14</v>
      </c>
      <c r="J22" s="26" t="s">
        <v>129</v>
      </c>
      <c r="K22" s="26" t="s">
        <v>271</v>
      </c>
      <c r="L22" s="26" t="s">
        <v>272</v>
      </c>
      <c r="M22" s="17" t="str">
        <f ca="1">IF(ISBLANK(AI22), "-", AI22)</f>
        <v>PVC edge band PVC 1</v>
      </c>
      <c r="N22" s="17" t="str">
        <f ca="1">IF(ISBLANK(AK22), "-", AK22)</f>
        <v>PVC edge band PVC 1</v>
      </c>
      <c r="O22" s="17" t="str">
        <f ca="1">IF(ISBLANK(AL22), "-", AL22)</f>
        <v>-</v>
      </c>
      <c r="P22" s="17" t="str">
        <f ca="1">IF(ISBLANK(AJ22), "-", AJ22)</f>
        <v>-</v>
      </c>
      <c r="Q22" s="29">
        <f ca="1">IF(ISBLANK(AM22), "-", AM22)</f>
        <v>0.45000000000000001</v>
      </c>
      <c r="R22" s="29">
        <f ca="1">IF(ISBLANK(AN22), "-", AN22)</f>
        <v>0.45000000000000001</v>
      </c>
      <c r="S22" s="29" t="str">
        <f ca="1">IF(ISBLANK(AO22), "-", AO22)</f>
        <v>-</v>
      </c>
      <c r="T22" s="29" t="str">
        <f ca="1">IF(ISBLANK(AP22), "-", AP22)</f>
        <v>-</v>
      </c>
      <c r="U22" s="29">
        <f ca="1">IF(AQ22, 1, 0)</f>
        <v>1</v>
      </c>
      <c r="V22" s="17">
        <v>1</v>
      </c>
      <c r="W22" s="17"/>
      <c r="X22" s="17" t="s">
        <v>294</v>
      </c>
      <c r="Y22" s="17"/>
      <c r="Z22" s="17">
        <v>1</v>
      </c>
      <c r="AA22" s="29" t="str">
        <f ca="1">InverseAxis(V22, W22)</f>
        <v>#NAME?</v>
      </c>
      <c r="AB22" s="26">
        <v>200</v>
      </c>
      <c r="AC22" s="26">
        <v>71</v>
      </c>
      <c r="AD22" s="29">
        <v>18</v>
      </c>
      <c r="AE22" s="30" t="s">
        <v>265</v>
      </c>
      <c r="AF22" s="30" t="s">
        <v>265</v>
      </c>
      <c r="AG22" s="30" t="s">
        <v>265</v>
      </c>
      <c r="AH22" s="30" t="s">
        <v>265</v>
      </c>
      <c r="AI22" s="17" t="s">
        <v>266</v>
      </c>
      <c r="AJ22" s="17"/>
      <c r="AK22" s="17" t="s">
        <v>266</v>
      </c>
      <c r="AL22" s="17"/>
      <c r="AM22" s="29">
        <v>0.45000000000000001</v>
      </c>
      <c r="AN22" s="29">
        <v>0.45000000000000001</v>
      </c>
      <c r="AO22" s="29"/>
      <c r="AP22" s="29"/>
      <c r="AQ22" s="29" t="b">
        <v>1</v>
      </c>
      <c r="AR22" s="29"/>
      <c r="AS22" s="17"/>
      <c r="AT22" s="17"/>
    </row>
    <row r="23" customFormat="true" s="17">
      <c r="A23" s="26" t="s">
        <v>136</v>
      </c>
      <c r="B23" s="26" t="s">
        <v>22</v>
      </c>
      <c r="C23" s="26">
        <v>1400</v>
      </c>
      <c r="D23" s="26">
        <v>70</v>
      </c>
      <c r="E23" s="27">
        <v>18</v>
      </c>
      <c r="F23" s="28">
        <v>1</v>
      </c>
      <c r="G23" s="1">
        <v>1400</v>
      </c>
      <c r="H23" s="1">
        <v>70</v>
      </c>
      <c r="I23" s="26" t="s">
        <v>14</v>
      </c>
      <c r="J23" s="26" t="s">
        <v>135</v>
      </c>
      <c r="K23" s="26" t="s">
        <v>271</v>
      </c>
      <c r="L23" s="26" t="s">
        <v>272</v>
      </c>
      <c r="M23" s="17" t="str">
        <f ca="1">IF(ISBLANK(AI23), "-", AI23)</f>
        <v>PVC edge band PVC 1</v>
      </c>
      <c r="N23" s="17" t="str">
        <f ca="1">IF(ISBLANK(AK23), "-", AK23)</f>
        <v>PVC edge band PVC 1</v>
      </c>
      <c r="O23" s="17" t="str">
        <f ca="1">IF(ISBLANK(AL23), "-", AL23)</f>
        <v>PVC edge band PVC 1</v>
      </c>
      <c r="P23" s="17" t="str">
        <f ca="1">IF(ISBLANK(AJ23), "-", AJ23)</f>
        <v>PVC edge band PVC 1</v>
      </c>
      <c r="Q23" s="29">
        <f ca="1">IF(ISBLANK(AM23), "-", AM23)</f>
        <v>0.45000000000000001</v>
      </c>
      <c r="R23" s="29">
        <f ca="1">IF(ISBLANK(AN23), "-", AN23)</f>
        <v>0.45000000000000001</v>
      </c>
      <c r="S23" s="29">
        <f ca="1">IF(ISBLANK(AO23), "-", AO23)</f>
        <v>0.45000000000000001</v>
      </c>
      <c r="T23" s="29">
        <f ca="1">IF(ISBLANK(AP23), "-", AP23)</f>
        <v>0.45000000000000001</v>
      </c>
      <c r="U23" s="29">
        <f ca="1">IF(AQ23, 1, 0)</f>
        <v>1</v>
      </c>
      <c r="V23" s="17">
        <v>8</v>
      </c>
      <c r="W23" s="17"/>
      <c r="X23" s="17" t="s">
        <v>295</v>
      </c>
      <c r="Y23" s="17"/>
      <c r="Z23" s="17">
        <v>1</v>
      </c>
      <c r="AA23" s="29" t="str">
        <f ca="1">InverseAxis(V23, W23)</f>
        <v>#NAME?</v>
      </c>
      <c r="AB23" s="26">
        <v>1401</v>
      </c>
      <c r="AC23" s="26">
        <v>71</v>
      </c>
      <c r="AD23" s="29">
        <v>18</v>
      </c>
      <c r="AE23" s="30" t="s">
        <v>265</v>
      </c>
      <c r="AF23" s="30" t="s">
        <v>265</v>
      </c>
      <c r="AG23" s="30" t="s">
        <v>265</v>
      </c>
      <c r="AH23" s="30" t="s">
        <v>265</v>
      </c>
      <c r="AI23" s="17" t="s">
        <v>266</v>
      </c>
      <c r="AJ23" s="17" t="s">
        <v>266</v>
      </c>
      <c r="AK23" s="17" t="s">
        <v>266</v>
      </c>
      <c r="AL23" s="17" t="s">
        <v>266</v>
      </c>
      <c r="AM23" s="29">
        <v>0.45000000000000001</v>
      </c>
      <c r="AN23" s="29">
        <v>0.45000000000000001</v>
      </c>
      <c r="AO23" s="29">
        <v>0.45000000000000001</v>
      </c>
      <c r="AP23" s="29">
        <v>0.45000000000000001</v>
      </c>
      <c r="AQ23" s="29" t="b">
        <v>1</v>
      </c>
      <c r="AR23" s="29"/>
      <c r="AS23" s="17"/>
      <c r="AT23" s="17"/>
    </row>
    <row r="24" customFormat="true" s="17">
      <c r="A24" s="26" t="s">
        <v>144</v>
      </c>
      <c r="B24" s="26" t="s">
        <v>22</v>
      </c>
      <c r="C24" s="26">
        <v>725</v>
      </c>
      <c r="D24" s="26">
        <v>70</v>
      </c>
      <c r="E24" s="27">
        <v>18</v>
      </c>
      <c r="F24" s="28">
        <v>1</v>
      </c>
      <c r="G24" s="1">
        <v>725</v>
      </c>
      <c r="H24" s="1">
        <v>70</v>
      </c>
      <c r="I24" s="26" t="s">
        <v>14</v>
      </c>
      <c r="J24" s="26" t="s">
        <v>143</v>
      </c>
      <c r="K24" s="26" t="s">
        <v>271</v>
      </c>
      <c r="L24" s="26" t="s">
        <v>272</v>
      </c>
      <c r="M24" s="17" t="str">
        <f ca="1">IF(ISBLANK(AI24), "-", AI24)</f>
        <v>PVC edge band PVC 1</v>
      </c>
      <c r="N24" s="17" t="str">
        <f ca="1">IF(ISBLANK(AK24), "-", AK24)</f>
        <v>PVC edge band PVC 1</v>
      </c>
      <c r="O24" s="17" t="str">
        <f ca="1">IF(ISBLANK(AL24), "-", AL24)</f>
        <v>-</v>
      </c>
      <c r="P24" s="17" t="str">
        <f ca="1">IF(ISBLANK(AJ24), "-", AJ24)</f>
        <v>-</v>
      </c>
      <c r="Q24" s="29">
        <f ca="1">IF(ISBLANK(AM24), "-", AM24)</f>
        <v>0.45000000000000001</v>
      </c>
      <c r="R24" s="29">
        <f ca="1">IF(ISBLANK(AN24), "-", AN24)</f>
        <v>0.45000000000000001</v>
      </c>
      <c r="S24" s="29" t="str">
        <f ca="1">IF(ISBLANK(AO24), "-", AO24)</f>
        <v>-</v>
      </c>
      <c r="T24" s="29" t="str">
        <f ca="1">IF(ISBLANK(AP24), "-", AP24)</f>
        <v>-</v>
      </c>
      <c r="U24" s="29">
        <f ca="1">IF(AQ24, 1, 0)</f>
        <v>1</v>
      </c>
      <c r="V24" s="17">
        <v>8</v>
      </c>
      <c r="W24" s="17"/>
      <c r="X24" s="17" t="s">
        <v>296</v>
      </c>
      <c r="Y24" s="17"/>
      <c r="Z24" s="17">
        <v>1</v>
      </c>
      <c r="AA24" s="29" t="str">
        <f ca="1">InverseAxis(V24, W24)</f>
        <v>#NAME?</v>
      </c>
      <c r="AB24" s="26">
        <v>725</v>
      </c>
      <c r="AC24" s="26">
        <v>71</v>
      </c>
      <c r="AD24" s="29">
        <v>18</v>
      </c>
      <c r="AE24" s="30" t="s">
        <v>265</v>
      </c>
      <c r="AF24" s="30" t="s">
        <v>265</v>
      </c>
      <c r="AG24" s="30" t="s">
        <v>265</v>
      </c>
      <c r="AH24" s="30" t="s">
        <v>265</v>
      </c>
      <c r="AI24" s="17" t="s">
        <v>266</v>
      </c>
      <c r="AJ24" s="17"/>
      <c r="AK24" s="17" t="s">
        <v>266</v>
      </c>
      <c r="AL24" s="17"/>
      <c r="AM24" s="29">
        <v>0.45000000000000001</v>
      </c>
      <c r="AN24" s="29">
        <v>0.45000000000000001</v>
      </c>
      <c r="AO24" s="29"/>
      <c r="AP24" s="29"/>
      <c r="AQ24" s="29" t="b">
        <v>1</v>
      </c>
      <c r="AR24" s="29"/>
      <c r="AS24" s="17"/>
      <c r="AT24" s="17"/>
    </row>
    <row r="25" customFormat="true" s="17">
      <c r="A25" s="26" t="s">
        <v>150</v>
      </c>
      <c r="B25" s="26" t="s">
        <v>22</v>
      </c>
      <c r="C25" s="26">
        <v>777</v>
      </c>
      <c r="D25" s="26">
        <v>476</v>
      </c>
      <c r="E25" s="27">
        <v>18</v>
      </c>
      <c r="F25" s="28">
        <v>1</v>
      </c>
      <c r="G25" s="1">
        <v>777</v>
      </c>
      <c r="H25" s="1">
        <v>476</v>
      </c>
      <c r="I25" s="26" t="s">
        <v>14</v>
      </c>
      <c r="J25" s="26" t="s">
        <v>149</v>
      </c>
      <c r="K25" s="26" t="s">
        <v>271</v>
      </c>
      <c r="L25" s="26" t="s">
        <v>272</v>
      </c>
      <c r="M25" s="17" t="str">
        <f ca="1">IF(ISBLANK(AI25), "-", AI25)</f>
        <v>-</v>
      </c>
      <c r="N25" s="17" t="str">
        <f ca="1">IF(ISBLANK(AK25), "-", AK25)</f>
        <v>PVC edge band PVC 1</v>
      </c>
      <c r="O25" s="17" t="str">
        <f ca="1">IF(ISBLANK(AL25), "-", AL25)</f>
        <v>-</v>
      </c>
      <c r="P25" s="17" t="str">
        <f ca="1">IF(ISBLANK(AJ25), "-", AJ25)</f>
        <v>-</v>
      </c>
      <c r="Q25" s="29" t="str">
        <f ca="1">IF(ISBLANK(AM25), "-", AM25)</f>
        <v>-</v>
      </c>
      <c r="R25" s="29">
        <f ca="1">IF(ISBLANK(AN25), "-", AN25)</f>
        <v>0.45000000000000001</v>
      </c>
      <c r="S25" s="29" t="str">
        <f ca="1">IF(ISBLANK(AO25), "-", AO25)</f>
        <v>-</v>
      </c>
      <c r="T25" s="29" t="str">
        <f ca="1">IF(ISBLANK(AP25), "-", AP25)</f>
        <v>-</v>
      </c>
      <c r="U25" s="29">
        <f ca="1">IF(AQ25, 1, 0)</f>
        <v>1</v>
      </c>
      <c r="V25" s="17">
        <v>3</v>
      </c>
      <c r="W25" s="17"/>
      <c r="X25" s="17" t="s">
        <v>297</v>
      </c>
      <c r="Y25" s="17"/>
      <c r="Z25" s="17">
        <v>1</v>
      </c>
      <c r="AA25" s="29" t="str">
        <f ca="1">InverseAxis(V25, W25)</f>
        <v>#NAME?</v>
      </c>
      <c r="AB25" s="26">
        <v>777</v>
      </c>
      <c r="AC25" s="26">
        <v>476</v>
      </c>
      <c r="AD25" s="29">
        <v>18</v>
      </c>
      <c r="AE25" s="30" t="s">
        <v>265</v>
      </c>
      <c r="AF25" s="30" t="s">
        <v>265</v>
      </c>
      <c r="AG25" s="30" t="s">
        <v>265</v>
      </c>
      <c r="AH25" s="30" t="s">
        <v>265</v>
      </c>
      <c r="AI25" s="17"/>
      <c r="AJ25" s="17"/>
      <c r="AK25" s="17" t="s">
        <v>266</v>
      </c>
      <c r="AL25" s="17"/>
      <c r="AM25" s="29"/>
      <c r="AN25" s="29">
        <v>0.45000000000000001</v>
      </c>
      <c r="AO25" s="29"/>
      <c r="AP25" s="29"/>
      <c r="AQ25" s="29" t="b">
        <v>1</v>
      </c>
      <c r="AR25" s="29"/>
      <c r="AS25" s="17"/>
      <c r="AT25" s="17"/>
    </row>
    <row r="26" customFormat="true" s="17">
      <c r="A26" s="26" t="s">
        <v>155</v>
      </c>
      <c r="B26" s="26" t="s">
        <v>22</v>
      </c>
      <c r="C26" s="26">
        <v>402</v>
      </c>
      <c r="D26" s="26">
        <v>715</v>
      </c>
      <c r="E26" s="27">
        <v>18</v>
      </c>
      <c r="F26" s="28">
        <v>1</v>
      </c>
      <c r="G26" s="1">
        <v>402</v>
      </c>
      <c r="H26" s="1">
        <v>715</v>
      </c>
      <c r="I26" s="26" t="s">
        <v>14</v>
      </c>
      <c r="J26" s="26" t="s">
        <v>154</v>
      </c>
      <c r="K26" s="26" t="s">
        <v>280</v>
      </c>
      <c r="L26" s="26" t="s">
        <v>281</v>
      </c>
      <c r="M26" s="17" t="str">
        <f ca="1">IF(ISBLANK(AI26), "-", AI26)</f>
        <v>PVC edge band PVC 1</v>
      </c>
      <c r="N26" s="17" t="str">
        <f ca="1">IF(ISBLANK(AK26), "-", AK26)</f>
        <v>PVC edge band PVC 1</v>
      </c>
      <c r="O26" s="17" t="str">
        <f ca="1">IF(ISBLANK(AL26), "-", AL26)</f>
        <v>PVC edge band PVC 1</v>
      </c>
      <c r="P26" s="17" t="str">
        <f ca="1">IF(ISBLANK(AJ26), "-", AJ26)</f>
        <v>PVC edge band PVC 1</v>
      </c>
      <c r="Q26" s="29">
        <f ca="1">IF(ISBLANK(AM26), "-", AM26)</f>
        <v>2</v>
      </c>
      <c r="R26" s="29">
        <f ca="1">IF(ISBLANK(AN26), "-", AN26)</f>
        <v>2</v>
      </c>
      <c r="S26" s="29">
        <f ca="1">IF(ISBLANK(AO26), "-", AO26)</f>
        <v>2</v>
      </c>
      <c r="T26" s="29">
        <f ca="1">IF(ISBLANK(AP26), "-", AP26)</f>
        <v>2</v>
      </c>
      <c r="U26" s="29">
        <f ca="1">IF(AQ26, 1, 0)</f>
        <v>1</v>
      </c>
      <c r="V26" s="17">
        <v>2</v>
      </c>
      <c r="W26" s="17"/>
      <c r="X26" s="17"/>
      <c r="Y26" s="17"/>
      <c r="Z26" s="17">
        <v>1</v>
      </c>
      <c r="AA26" s="29" t="str">
        <f ca="1">InverseAxis(V26, W26)</f>
        <v>#NAME?</v>
      </c>
      <c r="AB26" s="26">
        <v>719</v>
      </c>
      <c r="AC26" s="26">
        <v>406</v>
      </c>
      <c r="AD26" s="29">
        <v>18</v>
      </c>
      <c r="AE26" s="30" t="s">
        <v>265</v>
      </c>
      <c r="AF26" s="30" t="s">
        <v>265</v>
      </c>
      <c r="AG26" s="30" t="s">
        <v>265</v>
      </c>
      <c r="AH26" s="30" t="s">
        <v>265</v>
      </c>
      <c r="AI26" s="17" t="s">
        <v>266</v>
      </c>
      <c r="AJ26" s="17" t="s">
        <v>266</v>
      </c>
      <c r="AK26" s="17" t="s">
        <v>266</v>
      </c>
      <c r="AL26" s="17" t="s">
        <v>266</v>
      </c>
      <c r="AM26" s="29">
        <v>2</v>
      </c>
      <c r="AN26" s="29">
        <v>2</v>
      </c>
      <c r="AO26" s="29">
        <v>2</v>
      </c>
      <c r="AP26" s="29">
        <v>2</v>
      </c>
      <c r="AQ26" s="29" t="b">
        <v>1</v>
      </c>
      <c r="AR26" s="29"/>
      <c r="AS26" s="17"/>
      <c r="AT26" s="17"/>
    </row>
    <row r="27" customFormat="true" s="17">
      <c r="A27" s="26" t="s">
        <v>163</v>
      </c>
      <c r="B27" s="26" t="s">
        <v>22</v>
      </c>
      <c r="C27" s="26">
        <v>252</v>
      </c>
      <c r="D27" s="26">
        <v>358</v>
      </c>
      <c r="E27" s="27">
        <v>18</v>
      </c>
      <c r="F27" s="28">
        <v>1</v>
      </c>
      <c r="G27" s="1">
        <v>252</v>
      </c>
      <c r="H27" s="1">
        <v>358</v>
      </c>
      <c r="I27" s="26" t="s">
        <v>14</v>
      </c>
      <c r="J27" s="26" t="s">
        <v>162</v>
      </c>
      <c r="K27" s="26" t="s">
        <v>271</v>
      </c>
      <c r="L27" s="26" t="s">
        <v>272</v>
      </c>
      <c r="M27" s="17" t="str">
        <f ca="1">IF(ISBLANK(AI27), "-", AI27)</f>
        <v>PVC edge band PVC 1</v>
      </c>
      <c r="N27" s="17" t="str">
        <f ca="1">IF(ISBLANK(AK27), "-", AK27)</f>
        <v>-</v>
      </c>
      <c r="O27" s="17" t="str">
        <f ca="1">IF(ISBLANK(AL27), "-", AL27)</f>
        <v>-</v>
      </c>
      <c r="P27" s="17" t="str">
        <f ca="1">IF(ISBLANK(AJ27), "-", AJ27)</f>
        <v>-</v>
      </c>
      <c r="Q27" s="29">
        <f ca="1">IF(ISBLANK(AM27), "-", AM27)</f>
        <v>0.45000000000000001</v>
      </c>
      <c r="R27" s="29" t="str">
        <f ca="1">IF(ISBLANK(AN27), "-", AN27)</f>
        <v>-</v>
      </c>
      <c r="S27" s="29" t="str">
        <f ca="1">IF(ISBLANK(AO27), "-", AO27)</f>
        <v>-</v>
      </c>
      <c r="T27" s="29" t="str">
        <f ca="1">IF(ISBLANK(AP27), "-", AP27)</f>
        <v>-</v>
      </c>
      <c r="U27" s="29">
        <f ca="1">IF(AQ27, 1, 0)</f>
        <v>1</v>
      </c>
      <c r="V27" s="17">
        <v>8</v>
      </c>
      <c r="W27" s="17"/>
      <c r="X27" s="17"/>
      <c r="Y27" s="17"/>
      <c r="Z27" s="17">
        <v>1</v>
      </c>
      <c r="AA27" s="29" t="str">
        <f ca="1">InverseAxis(V27, W27)</f>
        <v>#NAME?</v>
      </c>
      <c r="AB27" s="26">
        <v>358</v>
      </c>
      <c r="AC27" s="26">
        <v>252</v>
      </c>
      <c r="AD27" s="29">
        <v>18</v>
      </c>
      <c r="AE27" s="30" t="s">
        <v>265</v>
      </c>
      <c r="AF27" s="30" t="s">
        <v>265</v>
      </c>
      <c r="AG27" s="30" t="s">
        <v>265</v>
      </c>
      <c r="AH27" s="30" t="s">
        <v>265</v>
      </c>
      <c r="AI27" s="17" t="s">
        <v>266</v>
      </c>
      <c r="AJ27" s="17"/>
      <c r="AK27" s="17"/>
      <c r="AL27" s="17"/>
      <c r="AM27" s="29">
        <v>0.45000000000000001</v>
      </c>
      <c r="AN27" s="29"/>
      <c r="AO27" s="29"/>
      <c r="AP27" s="29"/>
      <c r="AQ27" s="29" t="b">
        <v>1</v>
      </c>
      <c r="AR27" s="29"/>
      <c r="AS27" s="17"/>
      <c r="AT27" s="17"/>
    </row>
    <row r="28" customFormat="true" s="17">
      <c r="A28" s="26" t="s">
        <v>168</v>
      </c>
      <c r="B28" s="26" t="s">
        <v>51</v>
      </c>
      <c r="C28" s="26">
        <v>899</v>
      </c>
      <c r="D28" s="26">
        <v>1070</v>
      </c>
      <c r="E28" s="27">
        <v>4</v>
      </c>
      <c r="F28" s="28">
        <v>1</v>
      </c>
      <c r="G28" s="1">
        <v>899</v>
      </c>
      <c r="H28" s="1">
        <v>1070</v>
      </c>
      <c r="I28" s="26" t="s">
        <v>14</v>
      </c>
      <c r="J28" s="26" t="s">
        <v>167</v>
      </c>
      <c r="K28" s="26" t="s">
        <v>271</v>
      </c>
      <c r="L28" s="26" t="s">
        <v>272</v>
      </c>
      <c r="M28" s="17" t="str">
        <f ca="1">IF(ISBLANK(AI28), "-", AI28)</f>
        <v>-</v>
      </c>
      <c r="N28" s="17" t="str">
        <f ca="1">IF(ISBLANK(AK28), "-", AK28)</f>
        <v>-</v>
      </c>
      <c r="O28" s="17" t="str">
        <f ca="1">IF(ISBLANK(AL28), "-", AL28)</f>
        <v>-</v>
      </c>
      <c r="P28" s="17" t="str">
        <f ca="1">IF(ISBLANK(AJ28), "-", AJ28)</f>
        <v>-</v>
      </c>
      <c r="Q28" s="29" t="str">
        <f ca="1">IF(ISBLANK(AM28), "-", AM28)</f>
        <v>-</v>
      </c>
      <c r="R28" s="29" t="str">
        <f ca="1">IF(ISBLANK(AN28), "-", AN28)</f>
        <v>-</v>
      </c>
      <c r="S28" s="29" t="str">
        <f ca="1">IF(ISBLANK(AO28), "-", AO28)</f>
        <v>-</v>
      </c>
      <c r="T28" s="29" t="str">
        <f ca="1">IF(ISBLANK(AP28), "-", AP28)</f>
        <v>-</v>
      </c>
      <c r="U28" s="29">
        <f ca="1">IF(AQ28, 1, 0)</f>
        <v>1</v>
      </c>
      <c r="V28" s="17"/>
      <c r="W28" s="17"/>
      <c r="X28" s="17"/>
      <c r="Y28" s="17"/>
      <c r="Z28" s="17">
        <v>0</v>
      </c>
      <c r="AA28" s="29" t="str">
        <f ca="1">InverseAxis(V28, W28)</f>
        <v>#NAME?</v>
      </c>
      <c r="AB28" s="26">
        <v>1070</v>
      </c>
      <c r="AC28" s="26">
        <v>899</v>
      </c>
      <c r="AD28" s="29">
        <v>4</v>
      </c>
      <c r="AE28" s="30" t="s">
        <v>265</v>
      </c>
      <c r="AF28" s="30" t="s">
        <v>265</v>
      </c>
      <c r="AG28" s="30" t="s">
        <v>265</v>
      </c>
      <c r="AH28" s="30" t="s">
        <v>265</v>
      </c>
      <c r="AI28" s="17"/>
      <c r="AJ28" s="17"/>
      <c r="AK28" s="17"/>
      <c r="AL28" s="17"/>
      <c r="AM28" s="29"/>
      <c r="AN28" s="29"/>
      <c r="AO28" s="29"/>
      <c r="AP28" s="29"/>
      <c r="AQ28" s="29" t="b">
        <v>1</v>
      </c>
      <c r="AR28" s="29"/>
      <c r="AS28" s="17"/>
      <c r="AT28" s="17"/>
    </row>
    <row r="29" customFormat="true" s="17">
      <c r="A29" s="26" t="s">
        <v>172</v>
      </c>
      <c r="B29" s="26" t="s">
        <v>51</v>
      </c>
      <c r="C29" s="26">
        <v>981</v>
      </c>
      <c r="D29" s="26">
        <v>1070</v>
      </c>
      <c r="E29" s="27">
        <v>4</v>
      </c>
      <c r="F29" s="28">
        <v>1</v>
      </c>
      <c r="G29" s="1">
        <v>981</v>
      </c>
      <c r="H29" s="1">
        <v>1070</v>
      </c>
      <c r="I29" s="26" t="s">
        <v>14</v>
      </c>
      <c r="J29" s="26" t="s">
        <v>171</v>
      </c>
      <c r="K29" s="26" t="s">
        <v>271</v>
      </c>
      <c r="L29" s="26" t="s">
        <v>272</v>
      </c>
      <c r="M29" s="17" t="str">
        <f ca="1">IF(ISBLANK(AI29), "-", AI29)</f>
        <v>-</v>
      </c>
      <c r="N29" s="17" t="str">
        <f ca="1">IF(ISBLANK(AK29), "-", AK29)</f>
        <v>-</v>
      </c>
      <c r="O29" s="17" t="str">
        <f ca="1">IF(ISBLANK(AL29), "-", AL29)</f>
        <v>-</v>
      </c>
      <c r="P29" s="17" t="str">
        <f ca="1">IF(ISBLANK(AJ29), "-", AJ29)</f>
        <v>-</v>
      </c>
      <c r="Q29" s="29" t="str">
        <f ca="1">IF(ISBLANK(AM29), "-", AM29)</f>
        <v>-</v>
      </c>
      <c r="R29" s="29" t="str">
        <f ca="1">IF(ISBLANK(AN29), "-", AN29)</f>
        <v>-</v>
      </c>
      <c r="S29" s="29" t="str">
        <f ca="1">IF(ISBLANK(AO29), "-", AO29)</f>
        <v>-</v>
      </c>
      <c r="T29" s="29" t="str">
        <f ca="1">IF(ISBLANK(AP29), "-", AP29)</f>
        <v>-</v>
      </c>
      <c r="U29" s="29">
        <f ca="1">IF(AQ29, 1, 0)</f>
        <v>1</v>
      </c>
      <c r="V29" s="17"/>
      <c r="W29" s="17"/>
      <c r="X29" s="17"/>
      <c r="Y29" s="17"/>
      <c r="Z29" s="17">
        <v>0</v>
      </c>
      <c r="AA29" s="29" t="str">
        <f ca="1">InverseAxis(V29, W29)</f>
        <v>#NAME?</v>
      </c>
      <c r="AB29" s="26">
        <v>1070</v>
      </c>
      <c r="AC29" s="26">
        <v>981</v>
      </c>
      <c r="AD29" s="29">
        <v>4</v>
      </c>
      <c r="AE29" s="30" t="s">
        <v>265</v>
      </c>
      <c r="AF29" s="30" t="s">
        <v>265</v>
      </c>
      <c r="AG29" s="30" t="s">
        <v>265</v>
      </c>
      <c r="AH29" s="30" t="s">
        <v>265</v>
      </c>
      <c r="AI29" s="17"/>
      <c r="AJ29" s="17"/>
      <c r="AK29" s="17"/>
      <c r="AL29" s="17"/>
      <c r="AM29" s="29"/>
      <c r="AN29" s="29"/>
      <c r="AO29" s="29"/>
      <c r="AP29" s="29"/>
      <c r="AQ29" s="29" t="b">
        <v>1</v>
      </c>
      <c r="AR29" s="29"/>
      <c r="AS29" s="17"/>
      <c r="AT29" s="17"/>
    </row>
    <row r="30" customFormat="true" s="17">
      <c r="A30" s="26" t="s">
        <v>176</v>
      </c>
      <c r="B30" s="26" t="s">
        <v>22</v>
      </c>
      <c r="C30" s="26">
        <v>914</v>
      </c>
      <c r="D30" s="26">
        <v>174</v>
      </c>
      <c r="E30" s="27">
        <v>18</v>
      </c>
      <c r="F30" s="28">
        <v>4</v>
      </c>
      <c r="G30" s="1">
        <v>914</v>
      </c>
      <c r="H30" s="1">
        <v>174</v>
      </c>
      <c r="I30" s="26" t="s">
        <v>14</v>
      </c>
      <c r="J30" s="26" t="s">
        <v>175</v>
      </c>
      <c r="K30" s="26" t="s">
        <v>271</v>
      </c>
      <c r="L30" s="26" t="s">
        <v>272</v>
      </c>
      <c r="M30" s="17" t="str">
        <f ca="1">IF(ISBLANK(AI30), "-", AI30)</f>
        <v>PVC edge band PVC 1</v>
      </c>
      <c r="N30" s="17" t="str">
        <f ca="1">IF(ISBLANK(AK30), "-", AK30)</f>
        <v>PVC edge band PVC 1</v>
      </c>
      <c r="O30" s="17" t="str">
        <f ca="1">IF(ISBLANK(AL30), "-", AL30)</f>
        <v>PVC edge band PVC 1</v>
      </c>
      <c r="P30" s="17" t="str">
        <f ca="1">IF(ISBLANK(AJ30), "-", AJ30)</f>
        <v>PVC edge band PVC 1</v>
      </c>
      <c r="Q30" s="29">
        <f ca="1">IF(ISBLANK(AM30), "-", AM30)</f>
        <v>2</v>
      </c>
      <c r="R30" s="29">
        <f ca="1">IF(ISBLANK(AN30), "-", AN30)</f>
        <v>2</v>
      </c>
      <c r="S30" s="29">
        <f ca="1">IF(ISBLANK(AO30), "-", AO30)</f>
        <v>2</v>
      </c>
      <c r="T30" s="29">
        <f ca="1">IF(ISBLANK(AP30), "-", AP30)</f>
        <v>2</v>
      </c>
      <c r="U30" s="29">
        <f ca="1">IF(AQ30, 1, 0)</f>
        <v>1</v>
      </c>
      <c r="V30" s="17">
        <v>1</v>
      </c>
      <c r="W30" s="17"/>
      <c r="X30" s="17"/>
      <c r="Y30" s="17"/>
      <c r="Z30" s="17">
        <v>1</v>
      </c>
      <c r="AA30" s="29" t="str">
        <f ca="1">InverseAxis(V30, W30)</f>
        <v>#NAME?</v>
      </c>
      <c r="AB30" s="26">
        <v>918</v>
      </c>
      <c r="AC30" s="26">
        <v>178</v>
      </c>
      <c r="AD30" s="29">
        <v>18</v>
      </c>
      <c r="AE30" s="30" t="s">
        <v>265</v>
      </c>
      <c r="AF30" s="30" t="s">
        <v>265</v>
      </c>
      <c r="AG30" s="30" t="s">
        <v>265</v>
      </c>
      <c r="AH30" s="30" t="s">
        <v>265</v>
      </c>
      <c r="AI30" s="17" t="s">
        <v>266</v>
      </c>
      <c r="AJ30" s="17" t="s">
        <v>266</v>
      </c>
      <c r="AK30" s="17" t="s">
        <v>266</v>
      </c>
      <c r="AL30" s="17" t="s">
        <v>266</v>
      </c>
      <c r="AM30" s="29">
        <v>2</v>
      </c>
      <c r="AN30" s="29">
        <v>2</v>
      </c>
      <c r="AO30" s="29">
        <v>2</v>
      </c>
      <c r="AP30" s="29">
        <v>2</v>
      </c>
      <c r="AQ30" s="29" t="b">
        <v>1</v>
      </c>
      <c r="AR30" s="29"/>
      <c r="AS30" s="17"/>
      <c r="AT30" s="17"/>
    </row>
    <row r="31" customFormat="true" s="17">
      <c r="A31" s="26" t="s">
        <v>184</v>
      </c>
      <c r="B31" s="26" t="s">
        <v>22</v>
      </c>
      <c r="C31" s="26">
        <v>479</v>
      </c>
      <c r="D31" s="26">
        <v>351</v>
      </c>
      <c r="E31" s="27">
        <v>18</v>
      </c>
      <c r="F31" s="28">
        <v>2</v>
      </c>
      <c r="G31" s="1">
        <v>479</v>
      </c>
      <c r="H31" s="1">
        <v>351</v>
      </c>
      <c r="I31" s="26" t="s">
        <v>14</v>
      </c>
      <c r="J31" s="26" t="s">
        <v>183</v>
      </c>
      <c r="K31" s="26" t="s">
        <v>271</v>
      </c>
      <c r="L31" s="26" t="s">
        <v>272</v>
      </c>
      <c r="M31" s="17" t="str">
        <f ca="1">IF(ISBLANK(AI31), "-", AI31)</f>
        <v>PVC edge band PVC 1</v>
      </c>
      <c r="N31" s="17" t="str">
        <f ca="1">IF(ISBLANK(AK31), "-", AK31)</f>
        <v>PVC edge band PVC 1</v>
      </c>
      <c r="O31" s="17" t="str">
        <f ca="1">IF(ISBLANK(AL31), "-", AL31)</f>
        <v>PVC edge band PVC 1</v>
      </c>
      <c r="P31" s="17" t="str">
        <f ca="1">IF(ISBLANK(AJ31), "-", AJ31)</f>
        <v>PVC edge band PVC 1</v>
      </c>
      <c r="Q31" s="29">
        <f ca="1">IF(ISBLANK(AM31), "-", AM31)</f>
        <v>0.45000000000000001</v>
      </c>
      <c r="R31" s="29">
        <f ca="1">IF(ISBLANK(AN31), "-", AN31)</f>
        <v>0.45000000000000001</v>
      </c>
      <c r="S31" s="29">
        <f ca="1">IF(ISBLANK(AO31), "-", AO31)</f>
        <v>0.45000000000000001</v>
      </c>
      <c r="T31" s="29">
        <f ca="1">IF(ISBLANK(AP31), "-", AP31)</f>
        <v>0.45000000000000001</v>
      </c>
      <c r="U31" s="29">
        <f ca="1">IF(AQ31, 1, 0)</f>
        <v>1</v>
      </c>
      <c r="V31" s="17"/>
      <c r="W31" s="17"/>
      <c r="X31" s="17"/>
      <c r="Y31" s="17"/>
      <c r="Z31" s="17">
        <v>0</v>
      </c>
      <c r="AA31" s="29" t="str">
        <f ca="1">InverseAxis(V31, W31)</f>
        <v>#NAME?</v>
      </c>
      <c r="AB31" s="26">
        <v>480</v>
      </c>
      <c r="AC31" s="26">
        <v>352</v>
      </c>
      <c r="AD31" s="29">
        <v>18</v>
      </c>
      <c r="AE31" s="30" t="s">
        <v>265</v>
      </c>
      <c r="AF31" s="30" t="s">
        <v>265</v>
      </c>
      <c r="AG31" s="30" t="s">
        <v>265</v>
      </c>
      <c r="AH31" s="30" t="s">
        <v>265</v>
      </c>
      <c r="AI31" s="17" t="s">
        <v>266</v>
      </c>
      <c r="AJ31" s="17" t="s">
        <v>266</v>
      </c>
      <c r="AK31" s="17" t="s">
        <v>266</v>
      </c>
      <c r="AL31" s="17" t="s">
        <v>266</v>
      </c>
      <c r="AM31" s="29">
        <v>0.45000000000000001</v>
      </c>
      <c r="AN31" s="29">
        <v>0.45000000000000001</v>
      </c>
      <c r="AO31" s="29">
        <v>0.45000000000000001</v>
      </c>
      <c r="AP31" s="29">
        <v>0.45000000000000001</v>
      </c>
      <c r="AQ31" s="29" t="b">
        <v>1</v>
      </c>
      <c r="AR31" s="29"/>
      <c r="AS31" s="17"/>
      <c r="AT31" s="17"/>
    </row>
    <row r="32" customFormat="true" s="17">
      <c r="A32" s="26" t="s">
        <v>192</v>
      </c>
      <c r="B32" s="26" t="s">
        <v>22</v>
      </c>
      <c r="C32" s="26">
        <v>456</v>
      </c>
      <c r="D32" s="26">
        <v>379</v>
      </c>
      <c r="E32" s="27">
        <v>18</v>
      </c>
      <c r="F32" s="28">
        <v>2</v>
      </c>
      <c r="G32" s="1">
        <v>456</v>
      </c>
      <c r="H32" s="1">
        <v>379</v>
      </c>
      <c r="I32" s="26" t="s">
        <v>14</v>
      </c>
      <c r="J32" s="26" t="s">
        <v>191</v>
      </c>
      <c r="K32" s="26" t="s">
        <v>271</v>
      </c>
      <c r="L32" s="26" t="s">
        <v>272</v>
      </c>
      <c r="M32" s="17" t="str">
        <f ca="1">IF(ISBLANK(AI32), "-", AI32)</f>
        <v>PVC edge band PVC 1</v>
      </c>
      <c r="N32" s="17" t="str">
        <f ca="1">IF(ISBLANK(AK32), "-", AK32)</f>
        <v>PVC edge band PVC 1</v>
      </c>
      <c r="O32" s="17" t="str">
        <f ca="1">IF(ISBLANK(AL32), "-", AL32)</f>
        <v>PVC edge band PVC 1</v>
      </c>
      <c r="P32" s="17" t="str">
        <f ca="1">IF(ISBLANK(AJ32), "-", AJ32)</f>
        <v>PVC edge band PVC 1</v>
      </c>
      <c r="Q32" s="29">
        <f ca="1">IF(ISBLANK(AM32), "-", AM32)</f>
        <v>0.45000000000000001</v>
      </c>
      <c r="R32" s="29">
        <f ca="1">IF(ISBLANK(AN32), "-", AN32)</f>
        <v>0.45000000000000001</v>
      </c>
      <c r="S32" s="29">
        <f ca="1">IF(ISBLANK(AO32), "-", AO32)</f>
        <v>0.45000000000000001</v>
      </c>
      <c r="T32" s="29">
        <f ca="1">IF(ISBLANK(AP32), "-", AP32)</f>
        <v>0.45000000000000001</v>
      </c>
      <c r="U32" s="29">
        <f ca="1">IF(AQ32, 1, 0)</f>
        <v>1</v>
      </c>
      <c r="V32" s="17"/>
      <c r="W32" s="17"/>
      <c r="X32" s="17"/>
      <c r="Y32" s="17"/>
      <c r="Z32" s="17">
        <v>0</v>
      </c>
      <c r="AA32" s="29" t="str">
        <f ca="1">InverseAxis(V32, W32)</f>
        <v>#NAME?</v>
      </c>
      <c r="AB32" s="26">
        <v>457</v>
      </c>
      <c r="AC32" s="26">
        <v>380</v>
      </c>
      <c r="AD32" s="29">
        <v>18</v>
      </c>
      <c r="AE32" s="30" t="s">
        <v>265</v>
      </c>
      <c r="AF32" s="30" t="s">
        <v>265</v>
      </c>
      <c r="AG32" s="30" t="s">
        <v>265</v>
      </c>
      <c r="AH32" s="30" t="s">
        <v>265</v>
      </c>
      <c r="AI32" s="17" t="s">
        <v>266</v>
      </c>
      <c r="AJ32" s="17" t="s">
        <v>266</v>
      </c>
      <c r="AK32" s="17" t="s">
        <v>266</v>
      </c>
      <c r="AL32" s="17" t="s">
        <v>266</v>
      </c>
      <c r="AM32" s="29">
        <v>0.45000000000000001</v>
      </c>
      <c r="AN32" s="29">
        <v>0.45000000000000001</v>
      </c>
      <c r="AO32" s="29">
        <v>0.45000000000000001</v>
      </c>
      <c r="AP32" s="29">
        <v>0.45000000000000001</v>
      </c>
      <c r="AQ32" s="29" t="b">
        <v>1</v>
      </c>
      <c r="AR32" s="29"/>
      <c r="AS32" s="17"/>
      <c r="AT32" s="17"/>
    </row>
  </sheetData>
  <pageMargins left="0.69999999999999996" right="0.69999999999999996" top="0.75" bottom="0.75" header="0.29999999999999999" footer="0.29999999999999999"/>
  <pageSetup orientation="portrait" scale="100" paperSize="9" fitToWidth="1" fitToHeight="1" horizontalDpi="600" verticalDpi="600" copies="1" r:id="rId1"/>
  <legacyDrawing r:id="rId2"/>
</worksheet>
</file>

<file path=xl/worksheets/sheet4.xml><?xml version="1.0" encoding="utf-8"?>
<worksheet xmlns="http://schemas.openxmlformats.org/spreadsheetml/2006/main" xmlns:r="http://schemas.openxmlformats.org/officeDocument/2006/relationships" xmlns:x14="http://schemas.microsoft.com/office/spreadsheetml/2009/9/main">
  <sheetPr codeName="Sheet4"/>
  <dimension ref="A1:M54"/>
  <sheetViews>
    <sheetView workbookViewId="0" topLeftCell="B1" zoomScaleNormal="100" zoomScaleSheetLayoutView="60" zoomScale="100" view="normal">
      <selection activeCell="C25" sqref="C25"/>
    </sheetView>
  </sheetViews>
  <sheetFormatPr defaultRowHeight="15" outlineLevelRow="2"/>
  <cols>
    <col min="1" max="1" width="30.71094" customWidth="1"/>
    <col min="2" max="2" width="45.71094" customWidth="1"/>
    <col min="3" max="6" width="10.71094" customWidth="1"/>
    <col min="7" max="7" width="35.71094" customWidth="1"/>
    <col min="8" max="8" width="45.71094" customWidth="1"/>
    <col min="9" max="10" width="25.71094" customWidth="1" style="31"/>
  </cols>
  <sheetData>
    <row r="1" ht="21" customFormat="true" s="17">
      <c r="A1" s="32" t="s">
        <v>298</v>
      </c>
      <c r="B1" s="32"/>
      <c r="H1" s="17"/>
      <c r="I1" s="33"/>
      <c r="J1" s="33"/>
    </row>
    <row r="2" customFormat="true" s="17">
      <c r="A2" s="34" t="s">
        <v>299</v>
      </c>
      <c r="B2" s="35" t="s">
        <v>14</v>
      </c>
      <c r="H2" s="17"/>
      <c r="I2" s="33"/>
      <c r="J2" s="33"/>
    </row>
    <row r="3" customFormat="true" s="17">
      <c r="A3" s="34" t="s">
        <v>300</v>
      </c>
      <c r="B3" s="26" t="s">
        <v>11</v>
      </c>
      <c r="G3" s="17"/>
      <c r="H3" s="17"/>
      <c r="I3" s="33"/>
      <c r="J3" s="33"/>
    </row>
    <row r="4" customFormat="true" s="17">
      <c r="A4" s="34" t="s">
        <v>301</v>
      </c>
      <c r="B4" s="26"/>
      <c r="H4" s="17"/>
      <c r="I4" s="33"/>
      <c r="J4" s="33"/>
    </row>
    <row r="5" customFormat="true" s="17">
      <c r="A5" s="34" t="s">
        <v>302</v>
      </c>
      <c r="B5" s="26" t="s">
        <v>303</v>
      </c>
      <c r="H5" s="17"/>
      <c r="I5" s="33"/>
      <c r="J5" s="33"/>
    </row>
    <row r="6" customFormat="true" s="17">
      <c r="A6" s="34" t="s">
        <v>304</v>
      </c>
      <c r="B6" s="26" t="s">
        <v>303</v>
      </c>
      <c r="H6" s="17"/>
      <c r="I6" s="33"/>
      <c r="J6" s="33"/>
    </row>
    <row r="7" customFormat="true" s="17">
      <c r="A7" s="34" t="s">
        <v>305</v>
      </c>
      <c r="B7" s="36">
        <v>44642.520374004635</v>
      </c>
      <c r="C7" s="37"/>
      <c r="H7" s="17"/>
      <c r="I7" s="33"/>
      <c r="J7" s="33"/>
    </row>
    <row r="8" customFormat="true" s="17">
      <c r="B8" s="26"/>
      <c r="H8" s="17"/>
      <c r="I8" s="33"/>
      <c r="J8" s="33"/>
    </row>
    <row r="9" customFormat="true" s="29">
      <c r="A9" s="11" t="s">
        <v>223</v>
      </c>
      <c r="B9" s="11"/>
      <c r="C9" s="11"/>
      <c r="D9" s="11"/>
      <c r="E9" s="11"/>
      <c r="F9" s="11"/>
      <c r="G9" s="11" t="s">
        <v>229</v>
      </c>
      <c r="H9" s="11"/>
      <c r="I9" s="38" t="s">
        <v>306</v>
      </c>
      <c r="J9" s="38"/>
      <c r="K9" s="38"/>
      <c r="L9" s="38"/>
      <c r="M9" s="38"/>
    </row>
    <row r="10" customFormat="true" s="29">
      <c r="A10" s="38" t="s">
        <v>307</v>
      </c>
      <c r="B10" s="38" t="s">
        <v>308</v>
      </c>
      <c r="C10" s="38" t="s">
        <v>5</v>
      </c>
      <c r="D10" s="38" t="s">
        <v>6</v>
      </c>
      <c r="E10" s="38" t="s">
        <v>7</v>
      </c>
      <c r="F10" s="38" t="s">
        <v>218</v>
      </c>
      <c r="G10" s="38" t="s">
        <v>307</v>
      </c>
      <c r="H10" s="38" t="s">
        <v>308</v>
      </c>
      <c r="I10" s="39" t="s">
        <v>309</v>
      </c>
      <c r="J10" s="39" t="s">
        <v>306</v>
      </c>
      <c r="K10" s="38" t="s">
        <v>310</v>
      </c>
      <c r="L10" s="38" t="s">
        <v>311</v>
      </c>
      <c r="M10" s="38" t="s">
        <v>312</v>
      </c>
    </row>
    <row r="11" customFormat="true" s="17">
      <c r="A11" s="40" t="s">
        <v>14</v>
      </c>
      <c r="B11" s="40" t="s">
        <v>11</v>
      </c>
      <c r="C11" s="41"/>
      <c r="D11" s="41"/>
      <c r="E11" s="42"/>
      <c r="F11" s="42">
        <v>1</v>
      </c>
      <c r="G11" s="41"/>
      <c r="H11" s="41"/>
      <c r="I11" s="43"/>
      <c r="J11" s="43"/>
      <c r="K11" s="44">
        <f ca="1">IF(I11 = "1", (C11 * D11 * F11) / 1000000, 0)</f>
        <v>0</v>
      </c>
      <c r="L11" s="44">
        <f ca="1">IF(I11 = "2", ((C11 * D11 * F11) * 2) / 1000000, 0)</f>
        <v>0</v>
      </c>
      <c r="M11" s="44">
        <f ca="1">IF(I11 = "3", (((C11 * D11 * 2) + (C11 * E11 * 2) + (D11 * E11 * 2)) * F11) / 1000000, 0)</f>
        <v>0</v>
      </c>
    </row>
    <row r="12" outlineLevel="1" customFormat="true" s="17">
      <c r="A12" s="45" t="s">
        <v>16</v>
      </c>
      <c r="B12" s="46" t="s">
        <v>15</v>
      </c>
      <c r="C12" s="47"/>
      <c r="D12" s="47"/>
      <c r="E12" s="48"/>
      <c r="F12" s="48">
        <v>4</v>
      </c>
      <c r="G12" s="47"/>
      <c r="H12" s="47"/>
      <c r="I12" s="49"/>
      <c r="J12" s="49"/>
      <c r="K12" s="50">
        <f ca="1">IF(I12 = "1", (C12 * D12 * F12) / 1000000, 0)</f>
        <v>0</v>
      </c>
      <c r="L12" s="50">
        <f ca="1">IF(I12 = "2", ((C12 * D12 * F12) * 2) / 1000000, 0)</f>
        <v>0</v>
      </c>
      <c r="M12" s="50">
        <f ca="1">IF(I12 = "3", (((C12 * D12 * 2) + (C12 * E12 * 2) + (D12 * E12 * 2)) * F12) / 1000000, 0)</f>
        <v>0</v>
      </c>
    </row>
    <row r="13" outlineLevel="2" customFormat="true" s="17">
      <c r="A13" s="51" t="s">
        <v>20</v>
      </c>
      <c r="B13" s="52" t="s">
        <v>17</v>
      </c>
      <c r="C13" s="12">
        <v>840</v>
      </c>
      <c r="D13" s="12">
        <v>144</v>
      </c>
      <c r="E13" s="13">
        <v>18</v>
      </c>
      <c r="F13" s="13">
        <v>1</v>
      </c>
      <c r="G13" s="12" t="s">
        <v>22</v>
      </c>
      <c r="H13" s="12" t="s">
        <v>24</v>
      </c>
      <c r="I13" s="53"/>
      <c r="J13" s="53"/>
      <c r="K13" s="54">
        <f ca="1">IF(I13 = "1", (C13 * D13 * F13) / 1000000, 0)</f>
        <v>0</v>
      </c>
      <c r="L13" s="54">
        <f ca="1">IF(I13 = "2", ((C13 * D13 * F13) * 2) / 1000000, 0)</f>
        <v>0</v>
      </c>
      <c r="M13" s="54">
        <f ca="1">IF(I13 = "3", (((C13 * D13 * 2) + (C13 * E13 * 2) + (D13 * E13 * 2)) * F13) / 1000000, 0)</f>
        <v>0</v>
      </c>
    </row>
    <row r="14" outlineLevel="2" customFormat="true" s="17">
      <c r="A14" s="51" t="s">
        <v>32</v>
      </c>
      <c r="B14" s="52" t="s">
        <v>31</v>
      </c>
      <c r="C14" s="12">
        <v>456</v>
      </c>
      <c r="D14" s="12">
        <v>144</v>
      </c>
      <c r="E14" s="13">
        <v>18</v>
      </c>
      <c r="F14" s="13">
        <v>1</v>
      </c>
      <c r="G14" s="12" t="s">
        <v>22</v>
      </c>
      <c r="H14" s="12" t="s">
        <v>24</v>
      </c>
      <c r="I14" s="53"/>
      <c r="J14" s="53"/>
      <c r="K14" s="54">
        <f ca="1">IF(I14 = "1", (C14 * D14 * F14) / 1000000, 0)</f>
        <v>0</v>
      </c>
      <c r="L14" s="54">
        <f ca="1">IF(I14 = "2", ((C14 * D14 * F14) * 2) / 1000000, 0)</f>
        <v>0</v>
      </c>
      <c r="M14" s="54">
        <f ca="1">IF(I14 = "3", (((C14 * D14 * 2) + (C14 * E14 * 2) + (D14 * E14 * 2)) * F14) / 1000000, 0)</f>
        <v>0</v>
      </c>
    </row>
    <row r="15" outlineLevel="2" customFormat="true" s="17">
      <c r="A15" s="51" t="s">
        <v>38</v>
      </c>
      <c r="B15" s="52" t="s">
        <v>37</v>
      </c>
      <c r="C15" s="12">
        <v>456</v>
      </c>
      <c r="D15" s="12">
        <v>144</v>
      </c>
      <c r="E15" s="13">
        <v>18</v>
      </c>
      <c r="F15" s="13">
        <v>1</v>
      </c>
      <c r="G15" s="12" t="s">
        <v>22</v>
      </c>
      <c r="H15" s="12" t="s">
        <v>24</v>
      </c>
      <c r="I15" s="53"/>
      <c r="J15" s="53"/>
      <c r="K15" s="54">
        <f ca="1">IF(I15 = "1", (C15 * D15 * F15) / 1000000, 0)</f>
        <v>0</v>
      </c>
      <c r="L15" s="54">
        <f ca="1">IF(I15 = "2", ((C15 * D15 * F15) * 2) / 1000000, 0)</f>
        <v>0</v>
      </c>
      <c r="M15" s="54">
        <f ca="1">IF(I15 = "3", (((C15 * D15 * 2) + (C15 * E15 * 2) + (D15 * E15 * 2)) * F15) / 1000000, 0)</f>
        <v>0</v>
      </c>
    </row>
    <row r="16" outlineLevel="2" customFormat="true" s="17">
      <c r="A16" s="51" t="s">
        <v>44</v>
      </c>
      <c r="B16" s="52" t="s">
        <v>43</v>
      </c>
      <c r="C16" s="12">
        <v>840</v>
      </c>
      <c r="D16" s="12">
        <v>144</v>
      </c>
      <c r="E16" s="13">
        <v>18</v>
      </c>
      <c r="F16" s="13">
        <v>1</v>
      </c>
      <c r="G16" s="12" t="s">
        <v>22</v>
      </c>
      <c r="H16" s="12" t="s">
        <v>24</v>
      </c>
      <c r="I16" s="53"/>
      <c r="J16" s="53"/>
      <c r="K16" s="54">
        <f ca="1">IF(I16 = "1", (C16 * D16 * F16) / 1000000, 0)</f>
        <v>0</v>
      </c>
      <c r="L16" s="54">
        <f ca="1">IF(I16 = "2", ((C16 * D16 * F16) * 2) / 1000000, 0)</f>
        <v>0</v>
      </c>
      <c r="M16" s="54">
        <f ca="1">IF(I16 = "3", (((C16 * D16 * 2) + (C16 * E16 * 2) + (D16 * E16 * 2)) * F16) / 1000000, 0)</f>
        <v>0</v>
      </c>
    </row>
    <row r="17" outlineLevel="2" customFormat="true" s="17">
      <c r="A17" s="51" t="s">
        <v>49</v>
      </c>
      <c r="B17" s="52" t="s">
        <v>48</v>
      </c>
      <c r="C17" s="12">
        <v>875</v>
      </c>
      <c r="D17" s="12">
        <v>453</v>
      </c>
      <c r="E17" s="13">
        <v>3</v>
      </c>
      <c r="F17" s="13">
        <v>1</v>
      </c>
      <c r="G17" s="12" t="s">
        <v>51</v>
      </c>
      <c r="H17" s="12" t="s">
        <v>53</v>
      </c>
      <c r="I17" s="53"/>
      <c r="J17" s="53"/>
      <c r="K17" s="54">
        <f ca="1">IF(I17 = "1", (C17 * D17 * F17) / 1000000, 0)</f>
        <v>0</v>
      </c>
      <c r="L17" s="54">
        <f ca="1">IF(I17 = "2", ((C17 * D17 * F17) * 2) / 1000000, 0)</f>
        <v>0</v>
      </c>
      <c r="M17" s="54">
        <f ca="1">IF(I17 = "3", (((C17 * D17 * 2) + (C17 * E17 * 2) + (D17 * E17 * 2)) * F17) / 1000000, 0)</f>
        <v>0</v>
      </c>
    </row>
    <row r="18" outlineLevel="2" customFormat="true" s="17">
      <c r="A18" s="51" t="s">
        <v>56</v>
      </c>
      <c r="B18" s="52" t="s">
        <v>54</v>
      </c>
      <c r="C18" s="12"/>
      <c r="D18" s="12"/>
      <c r="E18" s="13"/>
      <c r="F18" s="13">
        <v>1</v>
      </c>
      <c r="G18" s="12"/>
      <c r="H18" s="12"/>
      <c r="I18" s="53"/>
      <c r="J18" s="53"/>
      <c r="K18" s="54">
        <f ca="1">IF(I18 = "1", (C18 * D18 * F18) / 1000000, 0)</f>
        <v>0</v>
      </c>
      <c r="L18" s="54">
        <f ca="1">IF(I18 = "2", ((C18 * D18 * F18) * 2) / 1000000, 0)</f>
        <v>0</v>
      </c>
      <c r="M18" s="54">
        <f ca="1">IF(I18 = "3", (((C18 * D18 * 2) + (C18 * E18 * 2) + (D18 * E18 * 2)) * F18) / 1000000, 0)</f>
        <v>0</v>
      </c>
    </row>
    <row r="19" outlineLevel="2" customFormat="true" s="17">
      <c r="A19" s="51" t="s">
        <v>56</v>
      </c>
      <c r="B19" s="52" t="s">
        <v>57</v>
      </c>
      <c r="C19" s="12"/>
      <c r="D19" s="12"/>
      <c r="E19" s="13"/>
      <c r="F19" s="13">
        <v>1</v>
      </c>
      <c r="G19" s="12"/>
      <c r="H19" s="12"/>
      <c r="I19" s="53"/>
      <c r="J19" s="53"/>
      <c r="K19" s="54">
        <f ca="1">IF(I19 = "1", (C19 * D19 * F19) / 1000000, 0)</f>
        <v>0</v>
      </c>
      <c r="L19" s="54">
        <f ca="1">IF(I19 = "2", ((C19 * D19 * F19) * 2) / 1000000, 0)</f>
        <v>0</v>
      </c>
      <c r="M19" s="54">
        <f ca="1">IF(I19 = "3", (((C19 * D19 * 2) + (C19 * E19 * 2) + (D19 * E19 * 2)) * F19) / 1000000, 0)</f>
        <v>0</v>
      </c>
    </row>
    <row r="20" outlineLevel="2" customFormat="true" s="17">
      <c r="A20" s="51" t="s">
        <v>59</v>
      </c>
      <c r="B20" s="52" t="s">
        <v>58</v>
      </c>
      <c r="C20" s="12"/>
      <c r="D20" s="12"/>
      <c r="E20" s="13"/>
      <c r="F20" s="13">
        <v>8</v>
      </c>
      <c r="G20" s="12"/>
      <c r="H20" s="12"/>
      <c r="I20" s="53"/>
      <c r="J20" s="53"/>
      <c r="K20" s="54">
        <f ca="1">IF(I20 = "1", (C20 * D20 * F20) / 1000000, 0)</f>
        <v>0</v>
      </c>
      <c r="L20" s="54">
        <f ca="1">IF(I20 = "2", ((C20 * D20 * F20) * 2) / 1000000, 0)</f>
        <v>0</v>
      </c>
      <c r="M20" s="54">
        <f ca="1">IF(I20 = "3", (((C20 * D20 * 2) + (C20 * E20 * 2) + (D20 * E20 * 2)) * F20) / 1000000, 0)</f>
        <v>0</v>
      </c>
    </row>
    <row r="21" outlineLevel="2" customFormat="true" s="17">
      <c r="A21" s="51" t="s">
        <v>61</v>
      </c>
      <c r="B21" s="52" t="s">
        <v>60</v>
      </c>
      <c r="C21" s="12"/>
      <c r="D21" s="12"/>
      <c r="E21" s="13"/>
      <c r="F21" s="13">
        <v>8</v>
      </c>
      <c r="G21" s="12"/>
      <c r="H21" s="12"/>
      <c r="I21" s="53"/>
      <c r="J21" s="53"/>
      <c r="K21" s="54">
        <f ca="1">IF(I21 = "1", (C21 * D21 * F21) / 1000000, 0)</f>
        <v>0</v>
      </c>
      <c r="L21" s="54">
        <f ca="1">IF(I21 = "2", ((C21 * D21 * F21) * 2) / 1000000, 0)</f>
        <v>0</v>
      </c>
      <c r="M21" s="54">
        <f ca="1">IF(I21 = "3", (((C21 * D21 * 2) + (C21 * E21 * 2) + (D21 * E21 * 2)) * F21) / 1000000, 0)</f>
        <v>0</v>
      </c>
    </row>
    <row r="22" outlineLevel="1" customFormat="true" s="17">
      <c r="A22" s="45" t="s">
        <v>63</v>
      </c>
      <c r="B22" s="46" t="s">
        <v>62</v>
      </c>
      <c r="C22" s="47">
        <v>1901</v>
      </c>
      <c r="D22" s="47">
        <v>362</v>
      </c>
      <c r="E22" s="48">
        <v>18</v>
      </c>
      <c r="F22" s="48">
        <v>1</v>
      </c>
      <c r="G22" s="47" t="s">
        <v>22</v>
      </c>
      <c r="H22" s="47" t="s">
        <v>24</v>
      </c>
      <c r="I22" s="49"/>
      <c r="J22" s="49"/>
      <c r="K22" s="50">
        <f ca="1">IF(I22 = "1", (C22 * D22 * F22) / 1000000, 0)</f>
        <v>0</v>
      </c>
      <c r="L22" s="50">
        <f ca="1">IF(I22 = "2", ((C22 * D22 * F22) * 2) / 1000000, 0)</f>
        <v>0</v>
      </c>
      <c r="M22" s="50">
        <f ca="1">IF(I22 = "3", (((C22 * D22 * 2) + (C22 * E22 * 2) + (D22 * E22 * 2)) * F22) / 1000000, 0)</f>
        <v>0</v>
      </c>
    </row>
    <row r="23" outlineLevel="1" customFormat="true" s="17">
      <c r="A23" s="45" t="s">
        <v>69</v>
      </c>
      <c r="B23" s="46" t="s">
        <v>68</v>
      </c>
      <c r="C23" s="47">
        <v>1054</v>
      </c>
      <c r="D23" s="47">
        <v>362</v>
      </c>
      <c r="E23" s="48">
        <v>18</v>
      </c>
      <c r="F23" s="48">
        <v>1</v>
      </c>
      <c r="G23" s="47" t="s">
        <v>22</v>
      </c>
      <c r="H23" s="47" t="s">
        <v>24</v>
      </c>
      <c r="I23" s="49"/>
      <c r="J23" s="49"/>
      <c r="K23" s="50">
        <f ca="1">IF(I23 = "1", (C23 * D23 * F23) / 1000000, 0)</f>
        <v>0</v>
      </c>
      <c r="L23" s="50">
        <f ca="1">IF(I23 = "2", ((C23 * D23 * F23) * 2) / 1000000, 0)</f>
        <v>0</v>
      </c>
      <c r="M23" s="50">
        <f ca="1">IF(I23 = "3", (((C23 * D23 * 2) + (C23 * E23 * 2) + (D23 * E23 * 2)) * F23) / 1000000, 0)</f>
        <v>0</v>
      </c>
    </row>
    <row r="24" outlineLevel="1" customFormat="true" s="17">
      <c r="A24" s="45" t="s">
        <v>73</v>
      </c>
      <c r="B24" s="46" t="s">
        <v>72</v>
      </c>
      <c r="C24" s="47">
        <v>500</v>
      </c>
      <c r="D24" s="47">
        <v>362</v>
      </c>
      <c r="E24" s="48">
        <v>18</v>
      </c>
      <c r="F24" s="48">
        <v>1</v>
      </c>
      <c r="G24" s="47" t="s">
        <v>22</v>
      </c>
      <c r="H24" s="47" t="s">
        <v>24</v>
      </c>
      <c r="I24" s="49"/>
      <c r="J24" s="49"/>
      <c r="K24" s="50">
        <f ca="1">IF(I24 = "1", (C24 * D24 * F24) / 1000000, 0)</f>
        <v>0</v>
      </c>
      <c r="L24" s="50">
        <f ca="1">IF(I24 = "2", ((C24 * D24 * F24) * 2) / 1000000, 0)</f>
        <v>0</v>
      </c>
      <c r="M24" s="50">
        <f ca="1">IF(I24 = "3", (((C24 * D24 * 2) + (C24 * E24 * 2) + (D24 * E24 * 2)) * F24) / 1000000, 0)</f>
        <v>0</v>
      </c>
    </row>
    <row r="25" outlineLevel="1" customFormat="true" s="17">
      <c r="A25" s="45" t="s">
        <v>78</v>
      </c>
      <c r="B25" s="46" t="s">
        <v>77</v>
      </c>
      <c r="C25" s="47">
        <v>362</v>
      </c>
      <c r="D25" s="47">
        <v>252</v>
      </c>
      <c r="E25" s="48">
        <v>18</v>
      </c>
      <c r="F25" s="48">
        <v>1</v>
      </c>
      <c r="G25" s="47" t="s">
        <v>22</v>
      </c>
      <c r="H25" s="47" t="s">
        <v>24</v>
      </c>
      <c r="I25" s="49"/>
      <c r="J25" s="49"/>
      <c r="K25" s="50">
        <f ca="1">IF(I25 = "1", (C25 * D25 * F25) / 1000000, 0)</f>
        <v>0</v>
      </c>
      <c r="L25" s="50">
        <f ca="1">IF(I25 = "2", ((C25 * D25 * F25) * 2) / 1000000, 0)</f>
        <v>0</v>
      </c>
      <c r="M25" s="50">
        <f ca="1">IF(I25 = "3", (((C25 * D25 * 2) + (C25 * E25 * 2) + (D25 * E25 * 2)) * F25) / 1000000, 0)</f>
        <v>0</v>
      </c>
    </row>
    <row r="26" outlineLevel="1" customFormat="true" s="17">
      <c r="A26" s="45" t="s">
        <v>82</v>
      </c>
      <c r="B26" s="46" t="s">
        <v>81</v>
      </c>
      <c r="C26" s="47">
        <v>1404</v>
      </c>
      <c r="D26" s="47">
        <v>500</v>
      </c>
      <c r="E26" s="48">
        <v>25</v>
      </c>
      <c r="F26" s="48">
        <v>1</v>
      </c>
      <c r="G26" s="47" t="s">
        <v>22</v>
      </c>
      <c r="H26" s="47" t="s">
        <v>24</v>
      </c>
      <c r="I26" s="49"/>
      <c r="J26" s="49"/>
      <c r="K26" s="50">
        <f ca="1">IF(I26 = "1", (C26 * D26 * F26) / 1000000, 0)</f>
        <v>0</v>
      </c>
      <c r="L26" s="50">
        <f ca="1">IF(I26 = "2", ((C26 * D26 * F26) * 2) / 1000000, 0)</f>
        <v>0</v>
      </c>
      <c r="M26" s="50">
        <f ca="1">IF(I26 = "3", (((C26 * D26 * 2) + (C26 * E26 * 2) + (D26 * E26 * 2)) * F26) / 1000000, 0)</f>
        <v>0</v>
      </c>
    </row>
    <row r="27" outlineLevel="1" customFormat="true" s="17">
      <c r="A27" s="45" t="s">
        <v>89</v>
      </c>
      <c r="B27" s="46" t="s">
        <v>88</v>
      </c>
      <c r="C27" s="47">
        <v>777</v>
      </c>
      <c r="D27" s="47">
        <v>476</v>
      </c>
      <c r="E27" s="48">
        <v>18</v>
      </c>
      <c r="F27" s="48">
        <v>1</v>
      </c>
      <c r="G27" s="47" t="s">
        <v>22</v>
      </c>
      <c r="H27" s="47" t="s">
        <v>24</v>
      </c>
      <c r="I27" s="49"/>
      <c r="J27" s="49"/>
      <c r="K27" s="50">
        <f ca="1">IF(I27 = "1", (C27 * D27 * F27) / 1000000, 0)</f>
        <v>0</v>
      </c>
      <c r="L27" s="50">
        <f ca="1">IF(I27 = "2", ((C27 * D27 * F27) * 2) / 1000000, 0)</f>
        <v>0</v>
      </c>
      <c r="M27" s="50">
        <f ca="1">IF(I27 = "3", (((C27 * D27 * 2) + (C27 * E27 * 2) + (D27 * E27 * 2)) * F27) / 1000000, 0)</f>
        <v>0</v>
      </c>
    </row>
    <row r="28" outlineLevel="1" customFormat="true" s="17">
      <c r="A28" s="45" t="s">
        <v>94</v>
      </c>
      <c r="B28" s="46" t="s">
        <v>93</v>
      </c>
      <c r="C28" s="47">
        <v>1401</v>
      </c>
      <c r="D28" s="47">
        <v>480</v>
      </c>
      <c r="E28" s="48">
        <v>18</v>
      </c>
      <c r="F28" s="48">
        <v>1</v>
      </c>
      <c r="G28" s="47" t="s">
        <v>22</v>
      </c>
      <c r="H28" s="47" t="s">
        <v>24</v>
      </c>
      <c r="I28" s="49"/>
      <c r="J28" s="49"/>
      <c r="K28" s="50">
        <f ca="1">IF(I28 = "1", (C28 * D28 * F28) / 1000000, 0)</f>
        <v>0</v>
      </c>
      <c r="L28" s="50">
        <f ca="1">IF(I28 = "2", ((C28 * D28 * F28) * 2) / 1000000, 0)</f>
        <v>0</v>
      </c>
      <c r="M28" s="50">
        <f ca="1">IF(I28 = "3", (((C28 * D28 * 2) + (C28 * E28 * 2) + (D28 * E28 * 2)) * F28) / 1000000, 0)</f>
        <v>0</v>
      </c>
    </row>
    <row r="29" outlineLevel="1" customFormat="true" s="17">
      <c r="A29" s="45" t="s">
        <v>100</v>
      </c>
      <c r="B29" s="46" t="s">
        <v>99</v>
      </c>
      <c r="C29" s="47">
        <v>777</v>
      </c>
      <c r="D29" s="47">
        <v>480</v>
      </c>
      <c r="E29" s="48">
        <v>18</v>
      </c>
      <c r="F29" s="48">
        <v>1</v>
      </c>
      <c r="G29" s="47" t="s">
        <v>22</v>
      </c>
      <c r="H29" s="47" t="s">
        <v>24</v>
      </c>
      <c r="I29" s="49"/>
      <c r="J29" s="49"/>
      <c r="K29" s="50">
        <f ca="1">IF(I29 = "1", (C29 * D29 * F29) / 1000000, 0)</f>
        <v>0</v>
      </c>
      <c r="L29" s="50">
        <f ca="1">IF(I29 = "2", ((C29 * D29 * F29) * 2) / 1000000, 0)</f>
        <v>0</v>
      </c>
      <c r="M29" s="50">
        <f ca="1">IF(I29 = "3", (((C29 * D29 * 2) + (C29 * E29 * 2) + (D29 * E29 * 2)) * F29) / 1000000, 0)</f>
        <v>0</v>
      </c>
    </row>
    <row r="30" outlineLevel="1" customFormat="true" s="17">
      <c r="A30" s="45" t="s">
        <v>104</v>
      </c>
      <c r="B30" s="46" t="s">
        <v>103</v>
      </c>
      <c r="C30" s="47">
        <v>777</v>
      </c>
      <c r="D30" s="47">
        <v>476</v>
      </c>
      <c r="E30" s="48">
        <v>18</v>
      </c>
      <c r="F30" s="48">
        <v>1</v>
      </c>
      <c r="G30" s="47" t="s">
        <v>22</v>
      </c>
      <c r="H30" s="47" t="s">
        <v>24</v>
      </c>
      <c r="I30" s="49"/>
      <c r="J30" s="49"/>
      <c r="K30" s="50">
        <f ca="1">IF(I30 = "1", (C30 * D30 * F30) / 1000000, 0)</f>
        <v>0</v>
      </c>
      <c r="L30" s="50">
        <f ca="1">IF(I30 = "2", ((C30 * D30 * F30) * 2) / 1000000, 0)</f>
        <v>0</v>
      </c>
      <c r="M30" s="50">
        <f ca="1">IF(I30 = "3", (((C30 * D30 * 2) + (C30 * E30 * 2) + (D30 * E30 * 2)) * F30) / 1000000, 0)</f>
        <v>0</v>
      </c>
    </row>
    <row r="31" outlineLevel="1" customFormat="true" s="17">
      <c r="A31" s="45" t="s">
        <v>109</v>
      </c>
      <c r="B31" s="46" t="s">
        <v>108</v>
      </c>
      <c r="C31" s="47">
        <v>1901</v>
      </c>
      <c r="D31" s="47">
        <v>71</v>
      </c>
      <c r="E31" s="48">
        <v>18</v>
      </c>
      <c r="F31" s="48">
        <v>1</v>
      </c>
      <c r="G31" s="47" t="s">
        <v>22</v>
      </c>
      <c r="H31" s="47" t="s">
        <v>24</v>
      </c>
      <c r="I31" s="49"/>
      <c r="J31" s="49"/>
      <c r="K31" s="50">
        <f ca="1">IF(I31 = "1", (C31 * D31 * F31) / 1000000, 0)</f>
        <v>0</v>
      </c>
      <c r="L31" s="50">
        <f ca="1">IF(I31 = "2", ((C31 * D31 * F31) * 2) / 1000000, 0)</f>
        <v>0</v>
      </c>
      <c r="M31" s="50">
        <f ca="1">IF(I31 = "3", (((C31 * D31 * 2) + (C31 * E31 * 2) + (D31 * E31 * 2)) * F31) / 1000000, 0)</f>
        <v>0</v>
      </c>
    </row>
    <row r="32" outlineLevel="1" customFormat="true" s="17">
      <c r="A32" s="45" t="s">
        <v>117</v>
      </c>
      <c r="B32" s="46" t="s">
        <v>116</v>
      </c>
      <c r="C32" s="47">
        <v>950</v>
      </c>
      <c r="D32" s="47">
        <v>71</v>
      </c>
      <c r="E32" s="48">
        <v>18</v>
      </c>
      <c r="F32" s="48">
        <v>1</v>
      </c>
      <c r="G32" s="47" t="s">
        <v>22</v>
      </c>
      <c r="H32" s="47" t="s">
        <v>24</v>
      </c>
      <c r="I32" s="49"/>
      <c r="J32" s="49"/>
      <c r="K32" s="50">
        <f ca="1">IF(I32 = "1", (C32 * D32 * F32) / 1000000, 0)</f>
        <v>0</v>
      </c>
      <c r="L32" s="50">
        <f ca="1">IF(I32 = "2", ((C32 * D32 * F32) * 2) / 1000000, 0)</f>
        <v>0</v>
      </c>
      <c r="M32" s="50">
        <f ca="1">IF(I32 = "3", (((C32 * D32 * 2) + (C32 * E32 * 2) + (D32 * E32 * 2)) * F32) / 1000000, 0)</f>
        <v>0</v>
      </c>
    </row>
    <row r="33" outlineLevel="1" customFormat="true" s="17">
      <c r="A33" s="45" t="s">
        <v>123</v>
      </c>
      <c r="B33" s="46" t="s">
        <v>122</v>
      </c>
      <c r="C33" s="47">
        <v>500</v>
      </c>
      <c r="D33" s="47">
        <v>71</v>
      </c>
      <c r="E33" s="48">
        <v>18</v>
      </c>
      <c r="F33" s="48">
        <v>1</v>
      </c>
      <c r="G33" s="47" t="s">
        <v>22</v>
      </c>
      <c r="H33" s="47" t="s">
        <v>24</v>
      </c>
      <c r="I33" s="49"/>
      <c r="J33" s="49"/>
      <c r="K33" s="50">
        <f ca="1">IF(I33 = "1", (C33 * D33 * F33) / 1000000, 0)</f>
        <v>0</v>
      </c>
      <c r="L33" s="50">
        <f ca="1">IF(I33 = "2", ((C33 * D33 * F33) * 2) / 1000000, 0)</f>
        <v>0</v>
      </c>
      <c r="M33" s="50">
        <f ca="1">IF(I33 = "3", (((C33 * D33 * 2) + (C33 * E33 * 2) + (D33 * E33 * 2)) * F33) / 1000000, 0)</f>
        <v>0</v>
      </c>
    </row>
    <row r="34" outlineLevel="1" customFormat="true" s="17">
      <c r="A34" s="45" t="s">
        <v>130</v>
      </c>
      <c r="B34" s="46" t="s">
        <v>129</v>
      </c>
      <c r="C34" s="47">
        <v>200</v>
      </c>
      <c r="D34" s="47">
        <v>71</v>
      </c>
      <c r="E34" s="48">
        <v>18</v>
      </c>
      <c r="F34" s="48">
        <v>1</v>
      </c>
      <c r="G34" s="47" t="s">
        <v>22</v>
      </c>
      <c r="H34" s="47" t="s">
        <v>24</v>
      </c>
      <c r="I34" s="49"/>
      <c r="J34" s="49"/>
      <c r="K34" s="50">
        <f ca="1">IF(I34 = "1", (C34 * D34 * F34) / 1000000, 0)</f>
        <v>0</v>
      </c>
      <c r="L34" s="50">
        <f ca="1">IF(I34 = "2", ((C34 * D34 * F34) * 2) / 1000000, 0)</f>
        <v>0</v>
      </c>
      <c r="M34" s="50">
        <f ca="1">IF(I34 = "3", (((C34 * D34 * 2) + (C34 * E34 * 2) + (D34 * E34 * 2)) * F34) / 1000000, 0)</f>
        <v>0</v>
      </c>
    </row>
    <row r="35" outlineLevel="1" customFormat="true" s="17">
      <c r="A35" s="45" t="s">
        <v>136</v>
      </c>
      <c r="B35" s="46" t="s">
        <v>135</v>
      </c>
      <c r="C35" s="47">
        <v>1401</v>
      </c>
      <c r="D35" s="47">
        <v>71</v>
      </c>
      <c r="E35" s="48">
        <v>18</v>
      </c>
      <c r="F35" s="48">
        <v>1</v>
      </c>
      <c r="G35" s="47" t="s">
        <v>22</v>
      </c>
      <c r="H35" s="47" t="s">
        <v>24</v>
      </c>
      <c r="I35" s="49"/>
      <c r="J35" s="49"/>
      <c r="K35" s="50">
        <f ca="1">IF(I35 = "1", (C35 * D35 * F35) / 1000000, 0)</f>
        <v>0</v>
      </c>
      <c r="L35" s="50">
        <f ca="1">IF(I35 = "2", ((C35 * D35 * F35) * 2) / 1000000, 0)</f>
        <v>0</v>
      </c>
      <c r="M35" s="50">
        <f ca="1">IF(I35 = "3", (((C35 * D35 * 2) + (C35 * E35 * 2) + (D35 * E35 * 2)) * F35) / 1000000, 0)</f>
        <v>0</v>
      </c>
    </row>
    <row r="36" outlineLevel="1" customFormat="true" s="17">
      <c r="A36" s="45" t="s">
        <v>144</v>
      </c>
      <c r="B36" s="46" t="s">
        <v>143</v>
      </c>
      <c r="C36" s="47">
        <v>725</v>
      </c>
      <c r="D36" s="47">
        <v>71</v>
      </c>
      <c r="E36" s="48">
        <v>18</v>
      </c>
      <c r="F36" s="48">
        <v>1</v>
      </c>
      <c r="G36" s="47" t="s">
        <v>22</v>
      </c>
      <c r="H36" s="47" t="s">
        <v>24</v>
      </c>
      <c r="I36" s="49"/>
      <c r="J36" s="49"/>
      <c r="K36" s="50">
        <f ca="1">IF(I36 = "1", (C36 * D36 * F36) / 1000000, 0)</f>
        <v>0</v>
      </c>
      <c r="L36" s="50">
        <f ca="1">IF(I36 = "2", ((C36 * D36 * F36) * 2) / 1000000, 0)</f>
        <v>0</v>
      </c>
      <c r="M36" s="50">
        <f ca="1">IF(I36 = "3", (((C36 * D36 * 2) + (C36 * E36 * 2) + (D36 * E36 * 2)) * F36) / 1000000, 0)</f>
        <v>0</v>
      </c>
    </row>
    <row r="37" outlineLevel="1" customFormat="true" s="17">
      <c r="A37" s="45" t="s">
        <v>150</v>
      </c>
      <c r="B37" s="46" t="s">
        <v>149</v>
      </c>
      <c r="C37" s="47">
        <v>777</v>
      </c>
      <c r="D37" s="47">
        <v>476</v>
      </c>
      <c r="E37" s="48">
        <v>18</v>
      </c>
      <c r="F37" s="48">
        <v>1</v>
      </c>
      <c r="G37" s="47" t="s">
        <v>22</v>
      </c>
      <c r="H37" s="47" t="s">
        <v>24</v>
      </c>
      <c r="I37" s="49"/>
      <c r="J37" s="49"/>
      <c r="K37" s="50">
        <f ca="1">IF(I37 = "1", (C37 * D37 * F37) / 1000000, 0)</f>
        <v>0</v>
      </c>
      <c r="L37" s="50">
        <f ca="1">IF(I37 = "2", ((C37 * D37 * F37) * 2) / 1000000, 0)</f>
        <v>0</v>
      </c>
      <c r="M37" s="50">
        <f ca="1">IF(I37 = "3", (((C37 * D37 * 2) + (C37 * E37 * 2) + (D37 * E37 * 2)) * F37) / 1000000, 0)</f>
        <v>0</v>
      </c>
    </row>
    <row r="38" outlineLevel="1" customFormat="true" s="17">
      <c r="A38" s="45" t="s">
        <v>155</v>
      </c>
      <c r="B38" s="46" t="s">
        <v>154</v>
      </c>
      <c r="C38" s="47">
        <v>719</v>
      </c>
      <c r="D38" s="47">
        <v>406</v>
      </c>
      <c r="E38" s="48">
        <v>18</v>
      </c>
      <c r="F38" s="48">
        <v>1</v>
      </c>
      <c r="G38" s="47" t="s">
        <v>22</v>
      </c>
      <c r="H38" s="47" t="s">
        <v>24</v>
      </c>
      <c r="I38" s="49"/>
      <c r="J38" s="49"/>
      <c r="K38" s="50">
        <f ca="1">IF(I38 = "1", (C38 * D38 * F38) / 1000000, 0)</f>
        <v>0</v>
      </c>
      <c r="L38" s="50">
        <f ca="1">IF(I38 = "2", ((C38 * D38 * F38) * 2) / 1000000, 0)</f>
        <v>0</v>
      </c>
      <c r="M38" s="50">
        <f ca="1">IF(I38 = "3", (((C38 * D38 * 2) + (C38 * E38 * 2) + (D38 * E38 * 2)) * F38) / 1000000, 0)</f>
        <v>0</v>
      </c>
    </row>
    <row r="39" outlineLevel="1" customFormat="true" s="17">
      <c r="A39" s="45" t="s">
        <v>163</v>
      </c>
      <c r="B39" s="46" t="s">
        <v>162</v>
      </c>
      <c r="C39" s="47">
        <v>358</v>
      </c>
      <c r="D39" s="47">
        <v>252</v>
      </c>
      <c r="E39" s="48">
        <v>18</v>
      </c>
      <c r="F39" s="48">
        <v>1</v>
      </c>
      <c r="G39" s="47" t="s">
        <v>22</v>
      </c>
      <c r="H39" s="47" t="s">
        <v>24</v>
      </c>
      <c r="I39" s="49"/>
      <c r="J39" s="49"/>
      <c r="K39" s="50">
        <f ca="1">IF(I39 = "1", (C39 * D39 * F39) / 1000000, 0)</f>
        <v>0</v>
      </c>
      <c r="L39" s="50">
        <f ca="1">IF(I39 = "2", ((C39 * D39 * F39) * 2) / 1000000, 0)</f>
        <v>0</v>
      </c>
      <c r="M39" s="50">
        <f ca="1">IF(I39 = "3", (((C39 * D39 * 2) + (C39 * E39 * 2) + (D39 * E39 * 2)) * F39) / 1000000, 0)</f>
        <v>0</v>
      </c>
    </row>
    <row r="40" outlineLevel="1" customFormat="true" s="17">
      <c r="A40" s="45" t="s">
        <v>168</v>
      </c>
      <c r="B40" s="46" t="s">
        <v>167</v>
      </c>
      <c r="C40" s="47">
        <v>1070</v>
      </c>
      <c r="D40" s="47">
        <v>899</v>
      </c>
      <c r="E40" s="48">
        <v>4</v>
      </c>
      <c r="F40" s="48">
        <v>1</v>
      </c>
      <c r="G40" s="47" t="s">
        <v>51</v>
      </c>
      <c r="H40" s="47" t="s">
        <v>53</v>
      </c>
      <c r="I40" s="49"/>
      <c r="J40" s="49"/>
      <c r="K40" s="50">
        <f ca="1">IF(I40 = "1", (C40 * D40 * F40) / 1000000, 0)</f>
        <v>0</v>
      </c>
      <c r="L40" s="50">
        <f ca="1">IF(I40 = "2", ((C40 * D40 * F40) * 2) / 1000000, 0)</f>
        <v>0</v>
      </c>
      <c r="M40" s="50">
        <f ca="1">IF(I40 = "3", (((C40 * D40 * 2) + (C40 * E40 * 2) + (D40 * E40 * 2)) * F40) / 1000000, 0)</f>
        <v>0</v>
      </c>
    </row>
    <row r="41" outlineLevel="1" customFormat="true" s="17">
      <c r="A41" s="45" t="s">
        <v>172</v>
      </c>
      <c r="B41" s="46" t="s">
        <v>171</v>
      </c>
      <c r="C41" s="47">
        <v>1070</v>
      </c>
      <c r="D41" s="47">
        <v>981</v>
      </c>
      <c r="E41" s="48">
        <v>4</v>
      </c>
      <c r="F41" s="48">
        <v>1</v>
      </c>
      <c r="G41" s="47" t="s">
        <v>51</v>
      </c>
      <c r="H41" s="47" t="s">
        <v>53</v>
      </c>
      <c r="I41" s="49"/>
      <c r="J41" s="49"/>
      <c r="K41" s="50">
        <f ca="1">IF(I41 = "1", (C41 * D41 * F41) / 1000000, 0)</f>
        <v>0</v>
      </c>
      <c r="L41" s="50">
        <f ca="1">IF(I41 = "2", ((C41 * D41 * F41) * 2) / 1000000, 0)</f>
        <v>0</v>
      </c>
      <c r="M41" s="50">
        <f ca="1">IF(I41 = "3", (((C41 * D41 * 2) + (C41 * E41 * 2) + (D41 * E41 * 2)) * F41) / 1000000, 0)</f>
        <v>0</v>
      </c>
    </row>
    <row r="42" outlineLevel="1" customFormat="true" s="17">
      <c r="A42" s="45" t="s">
        <v>176</v>
      </c>
      <c r="B42" s="46" t="s">
        <v>175</v>
      </c>
      <c r="C42" s="47">
        <v>918</v>
      </c>
      <c r="D42" s="47">
        <v>178</v>
      </c>
      <c r="E42" s="48">
        <v>18</v>
      </c>
      <c r="F42" s="48">
        <v>4</v>
      </c>
      <c r="G42" s="47" t="s">
        <v>22</v>
      </c>
      <c r="H42" s="47" t="s">
        <v>24</v>
      </c>
      <c r="I42" s="49"/>
      <c r="J42" s="49"/>
      <c r="K42" s="50">
        <f ca="1">IF(I42 = "1", (C42 * D42 * F42) / 1000000, 0)</f>
        <v>0</v>
      </c>
      <c r="L42" s="50">
        <f ca="1">IF(I42 = "2", ((C42 * D42 * F42) * 2) / 1000000, 0)</f>
        <v>0</v>
      </c>
      <c r="M42" s="50">
        <f ca="1">IF(I42 = "3", (((C42 * D42 * 2) + (C42 * E42 * 2) + (D42 * E42 * 2)) * F42) / 1000000, 0)</f>
        <v>0</v>
      </c>
    </row>
    <row r="43" outlineLevel="1" customFormat="true" s="17">
      <c r="A43" s="45" t="s">
        <v>184</v>
      </c>
      <c r="B43" s="46" t="s">
        <v>183</v>
      </c>
      <c r="C43" s="47">
        <v>480</v>
      </c>
      <c r="D43" s="47">
        <v>352</v>
      </c>
      <c r="E43" s="48">
        <v>18</v>
      </c>
      <c r="F43" s="48">
        <v>2</v>
      </c>
      <c r="G43" s="47" t="s">
        <v>22</v>
      </c>
      <c r="H43" s="47" t="s">
        <v>24</v>
      </c>
      <c r="I43" s="49"/>
      <c r="J43" s="49"/>
      <c r="K43" s="50">
        <f ca="1">IF(I43 = "1", (C43 * D43 * F43) / 1000000, 0)</f>
        <v>0</v>
      </c>
      <c r="L43" s="50">
        <f ca="1">IF(I43 = "2", ((C43 * D43 * F43) * 2) / 1000000, 0)</f>
        <v>0</v>
      </c>
      <c r="M43" s="50">
        <f ca="1">IF(I43 = "3", (((C43 * D43 * 2) + (C43 * E43 * 2) + (D43 * E43 * 2)) * F43) / 1000000, 0)</f>
        <v>0</v>
      </c>
    </row>
    <row r="44" outlineLevel="1" customFormat="true" s="17">
      <c r="A44" s="45" t="s">
        <v>192</v>
      </c>
      <c r="B44" s="46" t="s">
        <v>191</v>
      </c>
      <c r="C44" s="47">
        <v>457</v>
      </c>
      <c r="D44" s="47">
        <v>380</v>
      </c>
      <c r="E44" s="48">
        <v>18</v>
      </c>
      <c r="F44" s="48">
        <v>2</v>
      </c>
      <c r="G44" s="47" t="s">
        <v>22</v>
      </c>
      <c r="H44" s="47" t="s">
        <v>24</v>
      </c>
      <c r="I44" s="49"/>
      <c r="J44" s="49"/>
      <c r="K44" s="50">
        <f ca="1">IF(I44 = "1", (C44 * D44 * F44) / 1000000, 0)</f>
        <v>0</v>
      </c>
      <c r="L44" s="50">
        <f ca="1">IF(I44 = "2", ((C44 * D44 * F44) * 2) / 1000000, 0)</f>
        <v>0</v>
      </c>
      <c r="M44" s="50">
        <f ca="1">IF(I44 = "3", (((C44 * D44 * 2) + (C44 * E44 * 2) + (D44 * E44 * 2)) * F44) / 1000000, 0)</f>
        <v>0</v>
      </c>
    </row>
    <row r="45" outlineLevel="1" customFormat="true" s="17">
      <c r="A45" s="45" t="s">
        <v>200</v>
      </c>
      <c r="B45" s="46" t="s">
        <v>199</v>
      </c>
      <c r="C45" s="47"/>
      <c r="D45" s="47"/>
      <c r="E45" s="48"/>
      <c r="F45" s="48">
        <v>44</v>
      </c>
      <c r="G45" s="47"/>
      <c r="H45" s="47"/>
      <c r="I45" s="49"/>
      <c r="J45" s="49"/>
      <c r="K45" s="50">
        <f ca="1">IF(I45 = "1", (C45 * D45 * F45) / 1000000, 0)</f>
        <v>0</v>
      </c>
      <c r="L45" s="50">
        <f ca="1">IF(I45 = "2", ((C45 * D45 * F45) * 2) / 1000000, 0)</f>
        <v>0</v>
      </c>
      <c r="M45" s="50">
        <f ca="1">IF(I45 = "3", (((C45 * D45 * 2) + (C45 * E45 * 2) + (D45 * E45 * 2)) * F45) / 1000000, 0)</f>
        <v>0</v>
      </c>
    </row>
    <row r="46" outlineLevel="1" customFormat="true" s="17">
      <c r="A46" s="45" t="s">
        <v>202</v>
      </c>
      <c r="B46" s="46" t="s">
        <v>201</v>
      </c>
      <c r="C46" s="47"/>
      <c r="D46" s="47"/>
      <c r="E46" s="48"/>
      <c r="F46" s="48">
        <v>44</v>
      </c>
      <c r="G46" s="47"/>
      <c r="H46" s="47"/>
      <c r="I46" s="49"/>
      <c r="J46" s="49"/>
      <c r="K46" s="50">
        <f ca="1">IF(I46 = "1", (C46 * D46 * F46) / 1000000, 0)</f>
        <v>0</v>
      </c>
      <c r="L46" s="50">
        <f ca="1">IF(I46 = "2", ((C46 * D46 * F46) * 2) / 1000000, 0)</f>
        <v>0</v>
      </c>
      <c r="M46" s="50">
        <f ca="1">IF(I46 = "3", (((C46 * D46 * 2) + (C46 * E46 * 2) + (D46 * E46 * 2)) * F46) / 1000000, 0)</f>
        <v>0</v>
      </c>
    </row>
    <row r="47" outlineLevel="1" customFormat="true" s="17">
      <c r="A47" s="45" t="s">
        <v>204</v>
      </c>
      <c r="B47" s="46" t="s">
        <v>203</v>
      </c>
      <c r="C47" s="47"/>
      <c r="D47" s="47"/>
      <c r="E47" s="48"/>
      <c r="F47" s="48">
        <v>58</v>
      </c>
      <c r="G47" s="47"/>
      <c r="H47" s="47"/>
      <c r="I47" s="49"/>
      <c r="J47" s="49"/>
      <c r="K47" s="50">
        <f ca="1">IF(I47 = "1", (C47 * D47 * F47) / 1000000, 0)</f>
        <v>0</v>
      </c>
      <c r="L47" s="50">
        <f ca="1">IF(I47 = "2", ((C47 * D47 * F47) * 2) / 1000000, 0)</f>
        <v>0</v>
      </c>
      <c r="M47" s="50">
        <f ca="1">IF(I47 = "3", (((C47 * D47 * 2) + (C47 * E47 * 2) + (D47 * E47 * 2)) * F47) / 1000000, 0)</f>
        <v>0</v>
      </c>
    </row>
    <row r="48" outlineLevel="1" customFormat="true" s="17">
      <c r="A48" s="45" t="s">
        <v>206</v>
      </c>
      <c r="B48" s="46" t="s">
        <v>205</v>
      </c>
      <c r="C48" s="47"/>
      <c r="D48" s="47"/>
      <c r="E48" s="48"/>
      <c r="F48" s="48">
        <v>44</v>
      </c>
      <c r="G48" s="47"/>
      <c r="H48" s="47"/>
      <c r="I48" s="49"/>
      <c r="J48" s="49"/>
      <c r="K48" s="50">
        <f ca="1">IF(I48 = "1", (C48 * D48 * F48) / 1000000, 0)</f>
        <v>0</v>
      </c>
      <c r="L48" s="50">
        <f ca="1">IF(I48 = "2", ((C48 * D48 * F48) * 2) / 1000000, 0)</f>
        <v>0</v>
      </c>
      <c r="M48" s="50">
        <f ca="1">IF(I48 = "3", (((C48 * D48 * 2) + (C48 * E48 * 2) + (D48 * E48 * 2)) * F48) / 1000000, 0)</f>
        <v>0</v>
      </c>
    </row>
    <row r="49" outlineLevel="1" customFormat="true" s="17">
      <c r="A49" s="45" t="s">
        <v>208</v>
      </c>
      <c r="B49" s="46" t="s">
        <v>207</v>
      </c>
      <c r="C49" s="47"/>
      <c r="D49" s="47"/>
      <c r="E49" s="48"/>
      <c r="F49" s="48">
        <v>16</v>
      </c>
      <c r="G49" s="47"/>
      <c r="H49" s="47"/>
      <c r="I49" s="49"/>
      <c r="J49" s="49"/>
      <c r="K49" s="50">
        <f ca="1">IF(I49 = "1", (C49 * D49 * F49) / 1000000, 0)</f>
        <v>0</v>
      </c>
      <c r="L49" s="50">
        <f ca="1">IF(I49 = "2", ((C49 * D49 * F49) * 2) / 1000000, 0)</f>
        <v>0</v>
      </c>
      <c r="M49" s="50">
        <f ca="1">IF(I49 = "3", (((C49 * D49 * 2) + (C49 * E49 * 2) + (D49 * E49 * 2)) * F49) / 1000000, 0)</f>
        <v>0</v>
      </c>
    </row>
    <row r="50" outlineLevel="1" customFormat="true" s="17">
      <c r="A50" s="45" t="s">
        <v>210</v>
      </c>
      <c r="B50" s="46" t="s">
        <v>209</v>
      </c>
      <c r="C50" s="47"/>
      <c r="D50" s="47"/>
      <c r="E50" s="48"/>
      <c r="F50" s="48">
        <v>32</v>
      </c>
      <c r="G50" s="47"/>
      <c r="H50" s="47"/>
      <c r="I50" s="49"/>
      <c r="J50" s="49"/>
      <c r="K50" s="50">
        <f ca="1">IF(I50 = "1", (C50 * D50 * F50) / 1000000, 0)</f>
        <v>0</v>
      </c>
      <c r="L50" s="50">
        <f ca="1">IF(I50 = "2", ((C50 * D50 * F50) * 2) / 1000000, 0)</f>
        <v>0</v>
      </c>
      <c r="M50" s="50">
        <f ca="1">IF(I50 = "3", (((C50 * D50 * 2) + (C50 * E50 * 2) + (D50 * E50 * 2)) * F50) / 1000000, 0)</f>
        <v>0</v>
      </c>
    </row>
    <row r="51" outlineLevel="1" customFormat="true" s="17">
      <c r="A51" s="45" t="s">
        <v>212</v>
      </c>
      <c r="B51" s="46" t="s">
        <v>211</v>
      </c>
      <c r="C51" s="47"/>
      <c r="D51" s="47"/>
      <c r="E51" s="48"/>
      <c r="F51" s="48">
        <v>2</v>
      </c>
      <c r="G51" s="47"/>
      <c r="H51" s="47"/>
      <c r="I51" s="49"/>
      <c r="J51" s="49"/>
      <c r="K51" s="50">
        <f ca="1">IF(I51 = "1", (C51 * D51 * F51) / 1000000, 0)</f>
        <v>0</v>
      </c>
      <c r="L51" s="50">
        <f ca="1">IF(I51 = "2", ((C51 * D51 * F51) * 2) / 1000000, 0)</f>
        <v>0</v>
      </c>
      <c r="M51" s="50">
        <f ca="1">IF(I51 = "3", (((C51 * D51 * 2) + (C51 * E51 * 2) + (D51 * E51 * 2)) * F51) / 1000000, 0)</f>
        <v>0</v>
      </c>
    </row>
    <row r="52" outlineLevel="1" customFormat="true" s="17">
      <c r="A52" s="45" t="s">
        <v>213</v>
      </c>
      <c r="B52" s="46" t="s">
        <v>58</v>
      </c>
      <c r="C52" s="47"/>
      <c r="D52" s="47"/>
      <c r="E52" s="48"/>
      <c r="F52" s="48">
        <v>8</v>
      </c>
      <c r="G52" s="47"/>
      <c r="H52" s="47"/>
      <c r="I52" s="49"/>
      <c r="J52" s="49"/>
      <c r="K52" s="50">
        <f ca="1">IF(I52 = "1", (C52 * D52 * F52) / 1000000, 0)</f>
        <v>0</v>
      </c>
      <c r="L52" s="50">
        <f ca="1">IF(I52 = "2", ((C52 * D52 * F52) * 2) / 1000000, 0)</f>
        <v>0</v>
      </c>
      <c r="M52" s="50">
        <f ca="1">IF(I52 = "3", (((C52 * D52 * 2) + (C52 * E52 * 2) + (D52 * E52 * 2)) * F52) / 1000000, 0)</f>
        <v>0</v>
      </c>
    </row>
    <row r="53" outlineLevel="1" customFormat="true" s="17">
      <c r="A53" s="45" t="s">
        <v>215</v>
      </c>
      <c r="B53" s="46" t="s">
        <v>214</v>
      </c>
      <c r="C53" s="47"/>
      <c r="D53" s="47"/>
      <c r="E53" s="48"/>
      <c r="F53" s="48">
        <v>2</v>
      </c>
      <c r="G53" s="47"/>
      <c r="H53" s="47"/>
      <c r="I53" s="49"/>
      <c r="J53" s="49"/>
      <c r="K53" s="50">
        <f ca="1">IF(I53 = "1", (C53 * D53 * F53) / 1000000, 0)</f>
        <v>0</v>
      </c>
      <c r="L53" s="50">
        <f ca="1">IF(I53 = "2", ((C53 * D53 * F53) * 2) / 1000000, 0)</f>
        <v>0</v>
      </c>
      <c r="M53" s="50">
        <f ca="1">IF(I53 = "3", (((C53 * D53 * 2) + (C53 * E53 * 2) + (D53 * E53 * 2)) * F53) / 1000000, 0)</f>
        <v>0</v>
      </c>
    </row>
  </sheetData>
  <mergeCells count="5">
    <mergeCell ref="A1:B1"/>
    <mergeCell ref="B7:C7"/>
    <mergeCell ref="A9:F9"/>
    <mergeCell ref="G9:H9"/>
    <mergeCell ref="I9:M9"/>
  </mergeCells>
  <pageMargins left="0.69999999999999996" right="0.69999999999999996" top="0.75" bottom="0.75" header="0.29999999999999999" footer="0.29999999999999999"/>
  <pageSetup orientation="portrait" scale="100" paperSize="1" fitToWidth="1" fitToHeight="1" horizontalDpi="600" verticalDpi="600" copies="1" r:id="rId1"/>
</worksheet>
</file>

<file path=xl/worksheets/sheet5.xml><?xml version="1.0" encoding="utf-8"?>
<worksheet xmlns="http://schemas.openxmlformats.org/spreadsheetml/2006/main" xmlns:r="http://schemas.openxmlformats.org/officeDocument/2006/relationships" xmlns:x14="http://schemas.microsoft.com/office/spreadsheetml/2009/9/main">
  <sheetPr codeName="Sheet5"/>
  <dimension ref="A1:XFD55"/>
  <sheetViews>
    <sheetView workbookViewId="0" topLeftCell="A1" zoomScaleNormal="85" zoomScaleSheetLayoutView="60" zoomScale="85" view="normal">
      <selection activeCell="O15" sqref="O15"/>
    </sheetView>
  </sheetViews>
  <sheetFormatPr defaultRowHeight="15"/>
  <cols>
    <col min="1" max="1" width="25.71094" customWidth="1" style="17"/>
    <col min="2" max="2" width="40.71094" customWidth="1" style="17"/>
    <col min="3" max="6" width="10.71094" customWidth="1" style="17"/>
    <col min="7" max="7" width="35.71094" customWidth="1" style="17"/>
    <col min="8" max="8" width="50.71094" customWidth="1" style="17"/>
    <col min="9" max="10" width="25.71094" customWidth="1" style="17"/>
    <col min="11" max="16384" width="9.140625" customWidth="1" style="17"/>
  </cols>
  <sheetData>
    <row r="1" ht="21" customHeight="true">
      <c r="A1" s="32" t="s">
        <v>313</v>
      </c>
      <c r="B1" s="32"/>
      <c r="D1" s="55"/>
    </row>
    <row r="2" ht="21" customHeight="true">
      <c r="A2" s="34" t="s">
        <v>299</v>
      </c>
      <c r="B2" s="35" t="s">
        <v>14</v>
      </c>
      <c r="D2" s="55"/>
      <c r="F2" s="35"/>
      <c r="H2" s="35"/>
    </row>
    <row r="3" ht="21" customHeight="true">
      <c r="A3" s="34" t="s">
        <v>300</v>
      </c>
      <c r="B3" s="26" t="s">
        <v>11</v>
      </c>
      <c r="D3" s="55"/>
    </row>
    <row r="4" ht="21" customHeight="true">
      <c r="A4" s="34" t="s">
        <v>301</v>
      </c>
      <c r="B4" s="26"/>
      <c r="D4" s="55"/>
    </row>
    <row r="5" ht="21" customHeight="true">
      <c r="A5" s="34" t="s">
        <v>302</v>
      </c>
      <c r="B5" s="26" t="s">
        <v>303</v>
      </c>
      <c r="D5" s="55"/>
    </row>
    <row r="6" ht="21" customHeight="true">
      <c r="A6" s="34" t="s">
        <v>304</v>
      </c>
      <c r="B6" s="26" t="s">
        <v>303</v>
      </c>
      <c r="D6" s="55"/>
    </row>
    <row r="7" ht="21" customHeight="true">
      <c r="A7" s="34" t="s">
        <v>305</v>
      </c>
      <c r="B7" s="36">
        <v>44642.520374004635</v>
      </c>
      <c r="D7" s="55"/>
    </row>
    <row r="8" ht="21" customHeight="true">
      <c r="A8" s="34"/>
      <c r="B8" s="26"/>
      <c r="D8" s="55"/>
    </row>
    <row r="9" ht="21" customHeight="true" customFormat="true" s="56">
      <c r="A9" s="57" t="s">
        <v>314</v>
      </c>
      <c r="C9" s="17"/>
      <c r="D9" s="17"/>
      <c r="E9" s="17"/>
      <c r="F9" s="17"/>
      <c r="G9" s="17"/>
      <c r="H9" s="17"/>
    </row>
    <row r="10" ht="21" customHeight="true" customFormat="true" s="58">
      <c r="A10" s="11" t="s">
        <v>307</v>
      </c>
      <c r="B10" s="11" t="s">
        <v>308</v>
      </c>
      <c r="C10" s="11" t="s">
        <v>5</v>
      </c>
      <c r="D10" s="11" t="s">
        <v>6</v>
      </c>
      <c r="E10" s="11" t="s">
        <v>7</v>
      </c>
      <c r="F10" s="11" t="s">
        <v>218</v>
      </c>
      <c r="G10" s="11" t="s">
        <v>9</v>
      </c>
      <c r="H10" s="11" t="s">
        <v>315</v>
      </c>
      <c r="I10" s="11" t="s">
        <v>309</v>
      </c>
      <c r="J10" s="11" t="s">
        <v>306</v>
      </c>
    </row>
    <row r="11" ht="21" customHeight="true">
      <c r="A11" s="59" t="s">
        <v>20</v>
      </c>
      <c r="B11" s="59" t="s">
        <v>17</v>
      </c>
      <c r="C11" s="59">
        <v>840</v>
      </c>
      <c r="D11" s="59">
        <v>144</v>
      </c>
      <c r="E11" s="60">
        <v>18</v>
      </c>
      <c r="F11" s="61">
        <v>4</v>
      </c>
      <c r="G11" s="59" t="s">
        <v>22</v>
      </c>
      <c r="H11" s="59" t="s">
        <v>24</v>
      </c>
      <c r="I11" s="60"/>
      <c r="J11" s="60"/>
    </row>
    <row r="12" ht="21" customHeight="true">
      <c r="A12" s="59" t="s">
        <v>32</v>
      </c>
      <c r="B12" s="59" t="s">
        <v>31</v>
      </c>
      <c r="C12" s="59">
        <v>456</v>
      </c>
      <c r="D12" s="59">
        <v>144</v>
      </c>
      <c r="E12" s="60">
        <v>18</v>
      </c>
      <c r="F12" s="61">
        <v>4</v>
      </c>
      <c r="G12" s="59" t="s">
        <v>22</v>
      </c>
      <c r="H12" s="59" t="s">
        <v>24</v>
      </c>
      <c r="I12" s="60"/>
      <c r="J12" s="60"/>
    </row>
    <row r="13" ht="21" customHeight="true">
      <c r="A13" s="59" t="s">
        <v>38</v>
      </c>
      <c r="B13" s="59" t="s">
        <v>37</v>
      </c>
      <c r="C13" s="59">
        <v>456</v>
      </c>
      <c r="D13" s="59">
        <v>144</v>
      </c>
      <c r="E13" s="60">
        <v>18</v>
      </c>
      <c r="F13" s="61">
        <v>4</v>
      </c>
      <c r="G13" s="59" t="s">
        <v>22</v>
      </c>
      <c r="H13" s="59" t="s">
        <v>24</v>
      </c>
      <c r="I13" s="60"/>
      <c r="J13" s="60"/>
    </row>
    <row r="14" ht="21" customHeight="true">
      <c r="A14" s="59" t="s">
        <v>44</v>
      </c>
      <c r="B14" s="59" t="s">
        <v>43</v>
      </c>
      <c r="C14" s="59">
        <v>840</v>
      </c>
      <c r="D14" s="59">
        <v>144</v>
      </c>
      <c r="E14" s="60">
        <v>18</v>
      </c>
      <c r="F14" s="61">
        <v>4</v>
      </c>
      <c r="G14" s="59" t="s">
        <v>22</v>
      </c>
      <c r="H14" s="59" t="s">
        <v>24</v>
      </c>
      <c r="I14" s="60"/>
      <c r="J14" s="60"/>
    </row>
    <row r="15" ht="21" customHeight="true">
      <c r="A15" s="59" t="s">
        <v>49</v>
      </c>
      <c r="B15" s="59" t="s">
        <v>48</v>
      </c>
      <c r="C15" s="59">
        <v>875</v>
      </c>
      <c r="D15" s="59">
        <v>453</v>
      </c>
      <c r="E15" s="60">
        <v>3</v>
      </c>
      <c r="F15" s="61">
        <v>4</v>
      </c>
      <c r="G15" s="59" t="s">
        <v>51</v>
      </c>
      <c r="H15" s="59" t="s">
        <v>53</v>
      </c>
      <c r="I15" s="60"/>
      <c r="J15" s="60"/>
    </row>
    <row r="16" ht="21" customHeight="true">
      <c r="A16" s="59" t="s">
        <v>63</v>
      </c>
      <c r="B16" s="59" t="s">
        <v>62</v>
      </c>
      <c r="C16" s="59">
        <v>1901</v>
      </c>
      <c r="D16" s="59">
        <v>362</v>
      </c>
      <c r="E16" s="60">
        <v>18</v>
      </c>
      <c r="F16" s="61">
        <v>1</v>
      </c>
      <c r="G16" s="59" t="s">
        <v>22</v>
      </c>
      <c r="H16" s="59" t="s">
        <v>24</v>
      </c>
      <c r="I16" s="60"/>
      <c r="J16" s="60"/>
    </row>
    <row r="17" ht="21" customHeight="true">
      <c r="A17" s="59" t="s">
        <v>69</v>
      </c>
      <c r="B17" s="59" t="s">
        <v>68</v>
      </c>
      <c r="C17" s="59">
        <v>1054</v>
      </c>
      <c r="D17" s="59">
        <v>362</v>
      </c>
      <c r="E17" s="60">
        <v>18</v>
      </c>
      <c r="F17" s="61">
        <v>1</v>
      </c>
      <c r="G17" s="59" t="s">
        <v>22</v>
      </c>
      <c r="H17" s="59" t="s">
        <v>24</v>
      </c>
      <c r="I17" s="60"/>
      <c r="J17" s="60"/>
    </row>
    <row r="18" ht="21" customHeight="true">
      <c r="A18" s="59" t="s">
        <v>73</v>
      </c>
      <c r="B18" s="59" t="s">
        <v>72</v>
      </c>
      <c r="C18" s="59">
        <v>500</v>
      </c>
      <c r="D18" s="59">
        <v>362</v>
      </c>
      <c r="E18" s="60">
        <v>18</v>
      </c>
      <c r="F18" s="61">
        <v>1</v>
      </c>
      <c r="G18" s="59" t="s">
        <v>22</v>
      </c>
      <c r="H18" s="59" t="s">
        <v>24</v>
      </c>
      <c r="I18" s="60"/>
      <c r="J18" s="60"/>
    </row>
    <row r="19" ht="21" customHeight="true">
      <c r="A19" s="59" t="s">
        <v>78</v>
      </c>
      <c r="B19" s="59" t="s">
        <v>77</v>
      </c>
      <c r="C19" s="59">
        <v>362</v>
      </c>
      <c r="D19" s="59">
        <v>252</v>
      </c>
      <c r="E19" s="60">
        <v>18</v>
      </c>
      <c r="F19" s="61">
        <v>1</v>
      </c>
      <c r="G19" s="59" t="s">
        <v>22</v>
      </c>
      <c r="H19" s="59" t="s">
        <v>24</v>
      </c>
      <c r="I19" s="60"/>
      <c r="J19" s="60"/>
    </row>
    <row r="20" ht="21" customHeight="true">
      <c r="A20" s="59" t="s">
        <v>82</v>
      </c>
      <c r="B20" s="59" t="s">
        <v>81</v>
      </c>
      <c r="C20" s="59">
        <v>1404</v>
      </c>
      <c r="D20" s="59">
        <v>500</v>
      </c>
      <c r="E20" s="60">
        <v>25</v>
      </c>
      <c r="F20" s="61">
        <v>1</v>
      </c>
      <c r="G20" s="59" t="s">
        <v>22</v>
      </c>
      <c r="H20" s="59" t="s">
        <v>24</v>
      </c>
      <c r="I20" s="60"/>
      <c r="J20" s="60"/>
    </row>
    <row r="21" ht="21" customHeight="true">
      <c r="A21" s="59" t="s">
        <v>89</v>
      </c>
      <c r="B21" s="59" t="s">
        <v>88</v>
      </c>
      <c r="C21" s="59">
        <v>777</v>
      </c>
      <c r="D21" s="59">
        <v>476</v>
      </c>
      <c r="E21" s="60">
        <v>18</v>
      </c>
      <c r="F21" s="61">
        <v>1</v>
      </c>
      <c r="G21" s="59" t="s">
        <v>22</v>
      </c>
      <c r="H21" s="59" t="s">
        <v>24</v>
      </c>
      <c r="I21" s="60"/>
      <c r="J21" s="60"/>
    </row>
    <row r="22" ht="21" customHeight="true">
      <c r="A22" s="59" t="s">
        <v>94</v>
      </c>
      <c r="B22" s="59" t="s">
        <v>93</v>
      </c>
      <c r="C22" s="59">
        <v>1401</v>
      </c>
      <c r="D22" s="59">
        <v>480</v>
      </c>
      <c r="E22" s="60">
        <v>18</v>
      </c>
      <c r="F22" s="61">
        <v>1</v>
      </c>
      <c r="G22" s="59" t="s">
        <v>22</v>
      </c>
      <c r="H22" s="59" t="s">
        <v>24</v>
      </c>
      <c r="I22" s="60"/>
      <c r="J22" s="60"/>
    </row>
    <row r="23" ht="21" customHeight="true">
      <c r="A23" s="59" t="s">
        <v>100</v>
      </c>
      <c r="B23" s="59" t="s">
        <v>99</v>
      </c>
      <c r="C23" s="59">
        <v>777</v>
      </c>
      <c r="D23" s="59">
        <v>480</v>
      </c>
      <c r="E23" s="60">
        <v>18</v>
      </c>
      <c r="F23" s="61">
        <v>1</v>
      </c>
      <c r="G23" s="59" t="s">
        <v>22</v>
      </c>
      <c r="H23" s="59" t="s">
        <v>24</v>
      </c>
      <c r="I23" s="60"/>
      <c r="J23" s="60"/>
    </row>
    <row r="24" ht="21" customHeight="true">
      <c r="A24" s="59" t="s">
        <v>104</v>
      </c>
      <c r="B24" s="59" t="s">
        <v>103</v>
      </c>
      <c r="C24" s="59">
        <v>777</v>
      </c>
      <c r="D24" s="59">
        <v>476</v>
      </c>
      <c r="E24" s="60">
        <v>18</v>
      </c>
      <c r="F24" s="61">
        <v>1</v>
      </c>
      <c r="G24" s="59" t="s">
        <v>22</v>
      </c>
      <c r="H24" s="59" t="s">
        <v>24</v>
      </c>
      <c r="I24" s="60"/>
      <c r="J24" s="60"/>
    </row>
    <row r="25" ht="21" customHeight="true">
      <c r="A25" s="59" t="s">
        <v>109</v>
      </c>
      <c r="B25" s="59" t="s">
        <v>108</v>
      </c>
      <c r="C25" s="59">
        <v>1901</v>
      </c>
      <c r="D25" s="59">
        <v>71</v>
      </c>
      <c r="E25" s="60">
        <v>18</v>
      </c>
      <c r="F25" s="61">
        <v>1</v>
      </c>
      <c r="G25" s="59" t="s">
        <v>22</v>
      </c>
      <c r="H25" s="59" t="s">
        <v>24</v>
      </c>
      <c r="I25" s="60"/>
      <c r="J25" s="60"/>
    </row>
    <row r="26" ht="21" customHeight="true">
      <c r="A26" s="59" t="s">
        <v>117</v>
      </c>
      <c r="B26" s="59" t="s">
        <v>116</v>
      </c>
      <c r="C26" s="59">
        <v>950</v>
      </c>
      <c r="D26" s="59">
        <v>71</v>
      </c>
      <c r="E26" s="60">
        <v>18</v>
      </c>
      <c r="F26" s="61">
        <v>1</v>
      </c>
      <c r="G26" s="59" t="s">
        <v>22</v>
      </c>
      <c r="H26" s="59" t="s">
        <v>24</v>
      </c>
      <c r="I26" s="60"/>
      <c r="J26" s="60"/>
    </row>
    <row r="27" ht="21" customHeight="true">
      <c r="A27" s="59" t="s">
        <v>123</v>
      </c>
      <c r="B27" s="59" t="s">
        <v>122</v>
      </c>
      <c r="C27" s="59">
        <v>500</v>
      </c>
      <c r="D27" s="59">
        <v>71</v>
      </c>
      <c r="E27" s="60">
        <v>18</v>
      </c>
      <c r="F27" s="61">
        <v>1</v>
      </c>
      <c r="G27" s="59" t="s">
        <v>22</v>
      </c>
      <c r="H27" s="59" t="s">
        <v>24</v>
      </c>
      <c r="I27" s="60"/>
      <c r="J27" s="60"/>
    </row>
    <row r="28" ht="21" customHeight="true">
      <c r="A28" s="59" t="s">
        <v>130</v>
      </c>
      <c r="B28" s="59" t="s">
        <v>129</v>
      </c>
      <c r="C28" s="59">
        <v>200</v>
      </c>
      <c r="D28" s="59">
        <v>71</v>
      </c>
      <c r="E28" s="60">
        <v>18</v>
      </c>
      <c r="F28" s="61">
        <v>1</v>
      </c>
      <c r="G28" s="59" t="s">
        <v>22</v>
      </c>
      <c r="H28" s="59" t="s">
        <v>24</v>
      </c>
      <c r="I28" s="60"/>
      <c r="J28" s="60"/>
    </row>
    <row r="29" ht="21" customHeight="true">
      <c r="A29" s="59" t="s">
        <v>136</v>
      </c>
      <c r="B29" s="59" t="s">
        <v>135</v>
      </c>
      <c r="C29" s="59">
        <v>1401</v>
      </c>
      <c r="D29" s="59">
        <v>71</v>
      </c>
      <c r="E29" s="60">
        <v>18</v>
      </c>
      <c r="F29" s="61">
        <v>1</v>
      </c>
      <c r="G29" s="59" t="s">
        <v>22</v>
      </c>
      <c r="H29" s="59" t="s">
        <v>24</v>
      </c>
      <c r="I29" s="60"/>
      <c r="J29" s="60"/>
    </row>
    <row r="30" ht="21" customHeight="true">
      <c r="A30" s="59" t="s">
        <v>144</v>
      </c>
      <c r="B30" s="59" t="s">
        <v>143</v>
      </c>
      <c r="C30" s="59">
        <v>725</v>
      </c>
      <c r="D30" s="59">
        <v>71</v>
      </c>
      <c r="E30" s="60">
        <v>18</v>
      </c>
      <c r="F30" s="61">
        <v>1</v>
      </c>
      <c r="G30" s="59" t="s">
        <v>22</v>
      </c>
      <c r="H30" s="59" t="s">
        <v>24</v>
      </c>
      <c r="I30" s="60"/>
      <c r="J30" s="60"/>
    </row>
    <row r="31" ht="21" customHeight="true">
      <c r="A31" s="59" t="s">
        <v>150</v>
      </c>
      <c r="B31" s="59" t="s">
        <v>149</v>
      </c>
      <c r="C31" s="59">
        <v>777</v>
      </c>
      <c r="D31" s="59">
        <v>476</v>
      </c>
      <c r="E31" s="60">
        <v>18</v>
      </c>
      <c r="F31" s="61">
        <v>1</v>
      </c>
      <c r="G31" s="59" t="s">
        <v>22</v>
      </c>
      <c r="H31" s="59" t="s">
        <v>24</v>
      </c>
      <c r="I31" s="60"/>
      <c r="J31" s="60"/>
    </row>
    <row r="32" ht="21" customHeight="true">
      <c r="A32" s="59" t="s">
        <v>155</v>
      </c>
      <c r="B32" s="59" t="s">
        <v>154</v>
      </c>
      <c r="C32" s="59">
        <v>719</v>
      </c>
      <c r="D32" s="59">
        <v>406</v>
      </c>
      <c r="E32" s="60">
        <v>18</v>
      </c>
      <c r="F32" s="61">
        <v>1</v>
      </c>
      <c r="G32" s="59" t="s">
        <v>22</v>
      </c>
      <c r="H32" s="59" t="s">
        <v>24</v>
      </c>
      <c r="I32" s="60"/>
      <c r="J32" s="60"/>
    </row>
    <row r="33" ht="21" customHeight="true">
      <c r="A33" s="59" t="s">
        <v>163</v>
      </c>
      <c r="B33" s="59" t="s">
        <v>162</v>
      </c>
      <c r="C33" s="59">
        <v>358</v>
      </c>
      <c r="D33" s="59">
        <v>252</v>
      </c>
      <c r="E33" s="60">
        <v>18</v>
      </c>
      <c r="F33" s="61">
        <v>1</v>
      </c>
      <c r="G33" s="59" t="s">
        <v>22</v>
      </c>
      <c r="H33" s="59" t="s">
        <v>24</v>
      </c>
      <c r="I33" s="60"/>
      <c r="J33" s="60"/>
    </row>
    <row r="34" ht="21" customHeight="true">
      <c r="A34" s="59" t="s">
        <v>168</v>
      </c>
      <c r="B34" s="59" t="s">
        <v>167</v>
      </c>
      <c r="C34" s="59">
        <v>1070</v>
      </c>
      <c r="D34" s="59">
        <v>899</v>
      </c>
      <c r="E34" s="60">
        <v>4</v>
      </c>
      <c r="F34" s="61">
        <v>1</v>
      </c>
      <c r="G34" s="59" t="s">
        <v>51</v>
      </c>
      <c r="H34" s="59" t="s">
        <v>53</v>
      </c>
      <c r="I34" s="60"/>
      <c r="J34" s="60"/>
    </row>
    <row r="35" ht="21" customHeight="true">
      <c r="A35" s="59" t="s">
        <v>172</v>
      </c>
      <c r="B35" s="59" t="s">
        <v>171</v>
      </c>
      <c r="C35" s="59">
        <v>1070</v>
      </c>
      <c r="D35" s="59">
        <v>981</v>
      </c>
      <c r="E35" s="60">
        <v>4</v>
      </c>
      <c r="F35" s="61">
        <v>1</v>
      </c>
      <c r="G35" s="59" t="s">
        <v>51</v>
      </c>
      <c r="H35" s="59" t="s">
        <v>53</v>
      </c>
      <c r="I35" s="60"/>
      <c r="J35" s="60"/>
    </row>
    <row r="36" ht="21" customHeight="true">
      <c r="A36" s="59" t="s">
        <v>176</v>
      </c>
      <c r="B36" s="59" t="s">
        <v>175</v>
      </c>
      <c r="C36" s="59">
        <v>918</v>
      </c>
      <c r="D36" s="59">
        <v>178</v>
      </c>
      <c r="E36" s="60">
        <v>18</v>
      </c>
      <c r="F36" s="61">
        <v>4</v>
      </c>
      <c r="G36" s="59" t="s">
        <v>22</v>
      </c>
      <c r="H36" s="59" t="s">
        <v>24</v>
      </c>
      <c r="I36" s="60"/>
      <c r="J36" s="60"/>
    </row>
    <row r="37" ht="21" customHeight="true">
      <c r="A37" s="59" t="s">
        <v>184</v>
      </c>
      <c r="B37" s="59" t="s">
        <v>183</v>
      </c>
      <c r="C37" s="59">
        <v>480</v>
      </c>
      <c r="D37" s="59">
        <v>352</v>
      </c>
      <c r="E37" s="60">
        <v>18</v>
      </c>
      <c r="F37" s="61">
        <v>2</v>
      </c>
      <c r="G37" s="59" t="s">
        <v>22</v>
      </c>
      <c r="H37" s="59" t="s">
        <v>24</v>
      </c>
      <c r="I37" s="60"/>
      <c r="J37" s="60"/>
    </row>
    <row r="38" ht="21" customHeight="true">
      <c r="A38" s="59" t="s">
        <v>192</v>
      </c>
      <c r="B38" s="59" t="s">
        <v>191</v>
      </c>
      <c r="C38" s="59">
        <v>457</v>
      </c>
      <c r="D38" s="59">
        <v>380</v>
      </c>
      <c r="E38" s="60">
        <v>18</v>
      </c>
      <c r="F38" s="61">
        <v>2</v>
      </c>
      <c r="G38" s="59" t="s">
        <v>22</v>
      </c>
      <c r="H38" s="59" t="s">
        <v>24</v>
      </c>
      <c r="I38" s="60"/>
      <c r="J38" s="60"/>
    </row>
    <row r="39" ht="21" customHeight="true">
      <c r="A39" s="62"/>
      <c r="B39" s="62"/>
      <c r="C39" s="62"/>
      <c r="D39" s="62"/>
      <c r="E39" s="62"/>
      <c r="F39" s="63">
        <f ca="1">SUM(F11:F38)</f>
        <v>48</v>
      </c>
      <c r="G39" s="62"/>
      <c r="H39" s="62"/>
      <c r="I39" s="62"/>
      <c r="J39" s="62"/>
    </row>
    <row r="40" ht="21" customHeight="true">
      <c r="A40" s="57" t="s">
        <v>219</v>
      </c>
    </row>
    <row r="41" ht="21" customHeight="true" customFormat="true" s="58">
      <c r="A41" s="11" t="s">
        <v>307</v>
      </c>
      <c r="B41" s="11" t="s">
        <v>308</v>
      </c>
      <c r="C41" s="11"/>
      <c r="D41" s="11"/>
      <c r="E41" s="11"/>
      <c r="F41" s="11"/>
      <c r="G41" s="11" t="s">
        <v>218</v>
      </c>
    </row>
    <row r="42" ht="21" customHeight="true">
      <c r="A42" s="59" t="s">
        <v>56</v>
      </c>
      <c r="B42" s="64" t="s">
        <v>54</v>
      </c>
      <c r="C42" s="65"/>
      <c r="D42" s="65"/>
      <c r="E42" s="65"/>
      <c r="F42" s="66"/>
      <c r="G42" s="61">
        <v>4</v>
      </c>
      <c r="H42" s="17"/>
      <c r="I42" s="17"/>
      <c r="J42" s="17"/>
    </row>
    <row r="43" ht="21" customHeight="true">
      <c r="A43" s="59" t="s">
        <v>56</v>
      </c>
      <c r="B43" s="64" t="s">
        <v>57</v>
      </c>
      <c r="C43" s="65"/>
      <c r="D43" s="65"/>
      <c r="E43" s="65"/>
      <c r="F43" s="66"/>
      <c r="G43" s="61">
        <v>4</v>
      </c>
      <c r="H43" s="17"/>
      <c r="I43" s="17"/>
      <c r="J43" s="17"/>
    </row>
    <row r="44" ht="21" customHeight="true">
      <c r="A44" s="59" t="s">
        <v>59</v>
      </c>
      <c r="B44" s="64" t="s">
        <v>58</v>
      </c>
      <c r="C44" s="65"/>
      <c r="D44" s="65"/>
      <c r="E44" s="65"/>
      <c r="F44" s="66"/>
      <c r="G44" s="61">
        <v>32</v>
      </c>
      <c r="H44" s="17"/>
      <c r="I44" s="17"/>
      <c r="J44" s="17"/>
    </row>
    <row r="45" ht="21" customHeight="true">
      <c r="A45" s="59" t="s">
        <v>61</v>
      </c>
      <c r="B45" s="64" t="s">
        <v>60</v>
      </c>
      <c r="C45" s="65"/>
      <c r="D45" s="65"/>
      <c r="E45" s="65"/>
      <c r="F45" s="66"/>
      <c r="G45" s="61">
        <v>32</v>
      </c>
      <c r="H45" s="17"/>
      <c r="I45" s="17"/>
      <c r="J45" s="17"/>
    </row>
    <row r="46" ht="21" customHeight="true">
      <c r="A46" s="59" t="s">
        <v>200</v>
      </c>
      <c r="B46" s="64" t="s">
        <v>199</v>
      </c>
      <c r="C46" s="65"/>
      <c r="D46" s="65"/>
      <c r="E46" s="65"/>
      <c r="F46" s="66"/>
      <c r="G46" s="61">
        <v>44</v>
      </c>
      <c r="H46" s="17"/>
      <c r="I46" s="17"/>
      <c r="J46" s="17"/>
    </row>
    <row r="47" ht="21" customHeight="true">
      <c r="A47" s="59" t="s">
        <v>202</v>
      </c>
      <c r="B47" s="64" t="s">
        <v>201</v>
      </c>
      <c r="C47" s="65"/>
      <c r="D47" s="65"/>
      <c r="E47" s="65"/>
      <c r="F47" s="66"/>
      <c r="G47" s="61">
        <v>44</v>
      </c>
      <c r="H47" s="17"/>
      <c r="I47" s="17"/>
      <c r="J47" s="17"/>
    </row>
    <row r="48" ht="21" customHeight="true">
      <c r="A48" s="59" t="s">
        <v>204</v>
      </c>
      <c r="B48" s="64" t="s">
        <v>203</v>
      </c>
      <c r="C48" s="65"/>
      <c r="D48" s="65"/>
      <c r="E48" s="65"/>
      <c r="F48" s="66"/>
      <c r="G48" s="61">
        <v>58</v>
      </c>
      <c r="H48" s="17"/>
      <c r="I48" s="17"/>
      <c r="J48" s="17"/>
    </row>
    <row r="49" ht="21" customHeight="true">
      <c r="A49" s="59" t="s">
        <v>206</v>
      </c>
      <c r="B49" s="64" t="s">
        <v>205</v>
      </c>
      <c r="C49" s="65"/>
      <c r="D49" s="65"/>
      <c r="E49" s="65"/>
      <c r="F49" s="66"/>
      <c r="G49" s="61">
        <v>44</v>
      </c>
      <c r="H49" s="17"/>
      <c r="I49" s="17"/>
      <c r="J49" s="17"/>
    </row>
    <row r="50" ht="21" customHeight="true">
      <c r="A50" s="59" t="s">
        <v>208</v>
      </c>
      <c r="B50" s="64" t="s">
        <v>207</v>
      </c>
      <c r="C50" s="65"/>
      <c r="D50" s="65"/>
      <c r="E50" s="65"/>
      <c r="F50" s="66"/>
      <c r="G50" s="61">
        <v>16</v>
      </c>
      <c r="H50" s="17"/>
      <c r="I50" s="17"/>
      <c r="J50" s="17"/>
    </row>
    <row r="51" ht="21" customHeight="true">
      <c r="A51" s="59" t="s">
        <v>210</v>
      </c>
      <c r="B51" s="64" t="s">
        <v>209</v>
      </c>
      <c r="C51" s="65"/>
      <c r="D51" s="65"/>
      <c r="E51" s="65"/>
      <c r="F51" s="66"/>
      <c r="G51" s="61">
        <v>32</v>
      </c>
      <c r="H51" s="17"/>
      <c r="I51" s="17"/>
      <c r="J51" s="17"/>
    </row>
    <row r="52" ht="21" customHeight="true">
      <c r="A52" s="59" t="s">
        <v>212</v>
      </c>
      <c r="B52" s="64" t="s">
        <v>211</v>
      </c>
      <c r="C52" s="65"/>
      <c r="D52" s="65"/>
      <c r="E52" s="65"/>
      <c r="F52" s="66"/>
      <c r="G52" s="61">
        <v>2</v>
      </c>
      <c r="H52" s="17"/>
      <c r="I52" s="17"/>
      <c r="J52" s="17"/>
    </row>
    <row r="53" ht="21" customHeight="true">
      <c r="A53" s="59" t="s">
        <v>213</v>
      </c>
      <c r="B53" s="64" t="s">
        <v>58</v>
      </c>
      <c r="C53" s="65"/>
      <c r="D53" s="65"/>
      <c r="E53" s="65"/>
      <c r="F53" s="66"/>
      <c r="G53" s="61">
        <v>8</v>
      </c>
      <c r="H53" s="17"/>
      <c r="I53" s="17"/>
      <c r="J53" s="17"/>
    </row>
    <row r="54" ht="21" customHeight="true">
      <c r="A54" s="59" t="s">
        <v>215</v>
      </c>
      <c r="B54" s="64" t="s">
        <v>214</v>
      </c>
      <c r="C54" s="65"/>
      <c r="D54" s="65"/>
      <c r="E54" s="65"/>
      <c r="F54" s="66"/>
      <c r="G54" s="61">
        <v>2</v>
      </c>
      <c r="H54" s="17"/>
      <c r="I54" s="17"/>
      <c r="J54" s="17"/>
    </row>
    <row r="55" ht="21" customHeight="true">
      <c r="A55" s="62"/>
      <c r="B55" s="62"/>
      <c r="C55" s="62"/>
      <c r="D55" s="62"/>
      <c r="E55" s="62"/>
      <c r="F55" s="62"/>
      <c r="G55" s="63">
        <f ca="1">SUM(G42:G54)</f>
        <v>322</v>
      </c>
    </row>
  </sheetData>
  <mergeCells count="14">
    <mergeCell ref="B41:F41"/>
    <mergeCell ref="B42:F42"/>
    <mergeCell ref="B43:F43"/>
    <mergeCell ref="B44:F44"/>
    <mergeCell ref="B45:F45"/>
    <mergeCell ref="B46:F46"/>
    <mergeCell ref="B47:F47"/>
    <mergeCell ref="B48:F48"/>
    <mergeCell ref="B49:F49"/>
    <mergeCell ref="B50:F50"/>
    <mergeCell ref="B51:F51"/>
    <mergeCell ref="B52:F52"/>
    <mergeCell ref="B53:F53"/>
    <mergeCell ref="B54:F54"/>
  </mergeCells>
  <pageMargins left="0.69999999999999996" right="0.69999999999999996" top="0.75" bottom="0.75" header="0.29999999999999999" footer="0.29999999999999999"/>
  <pageSetup orientation="portrait" scale="100" paperSize="9" fitToWidth="0" fitToHeight="0" horizontalDpi="0" verticalDpi="0" copies="1"/>
</worksheet>
</file>

<file path=xl/worksheets/sheet6.xml><?xml version="1.0" encoding="utf-8"?>
<worksheet xmlns="http://schemas.openxmlformats.org/spreadsheetml/2006/main" xmlns:r="http://schemas.openxmlformats.org/officeDocument/2006/relationships" xmlns:x14="http://schemas.microsoft.com/office/spreadsheetml/2009/9/main">
  <sheetPr codeName="Sheet6"/>
  <dimension ref="A1:T38"/>
  <sheetViews>
    <sheetView workbookViewId="0" topLeftCell="A1" zoomScaleNormal="100" zoomScaleSheetLayoutView="60" zoomScale="100" view="normal">
      <selection activeCell="C35" sqref="C35"/>
    </sheetView>
  </sheetViews>
  <sheetFormatPr defaultRowHeight="15"/>
  <cols>
    <col min="1" max="1" width="35.71094" customWidth="1"/>
    <col min="2" max="2" width="25.71094" customWidth="1"/>
    <col min="3" max="6" width="10.71094" customWidth="1"/>
    <col min="7" max="7" width="35.71094" customWidth="1"/>
    <col min="8" max="8" width="50.71094" customWidth="1"/>
    <col min="9" max="9" width="12.71094" customWidth="1"/>
    <col min="10" max="10" width="50.71094" customWidth="1"/>
    <col min="11" max="12" width="12.71094" customWidth="1"/>
    <col min="13" max="13" width="50.71094" customWidth="1"/>
    <col min="14" max="15" width="12.71094" customWidth="1"/>
    <col min="16" max="16" width="50.71094" customWidth="1"/>
    <col min="17" max="18" width="12.71094" customWidth="1"/>
    <col min="19" max="19" width="50.71094" customWidth="1"/>
    <col min="20" max="20" width="12.71094" customWidth="1"/>
  </cols>
  <sheetData>
    <row r="1" ht="21" customFormat="true" s="17">
      <c r="A1" s="67" t="s">
        <v>316</v>
      </c>
    </row>
    <row r="2" customFormat="true" s="17">
      <c r="A2" s="34" t="s">
        <v>299</v>
      </c>
      <c r="B2" s="35" t="s">
        <v>14</v>
      </c>
    </row>
    <row r="3" customFormat="true" s="17">
      <c r="A3" s="34" t="s">
        <v>300</v>
      </c>
      <c r="B3" s="26" t="s">
        <v>11</v>
      </c>
      <c r="C3" s="35"/>
      <c r="D3" s="35"/>
      <c r="E3" s="35"/>
      <c r="F3" s="35"/>
      <c r="H3" s="35"/>
    </row>
    <row r="4" customFormat="true" s="17">
      <c r="A4" s="34" t="s">
        <v>301</v>
      </c>
      <c r="B4" s="26"/>
    </row>
    <row r="5" customFormat="true" s="17">
      <c r="A5" s="34" t="s">
        <v>302</v>
      </c>
      <c r="B5" s="26" t="s">
        <v>303</v>
      </c>
    </row>
    <row r="6" customFormat="true" s="17">
      <c r="A6" s="34" t="s">
        <v>304</v>
      </c>
      <c r="B6" s="26" t="s">
        <v>303</v>
      </c>
    </row>
    <row r="7" customFormat="true" s="17">
      <c r="A7" s="34" t="s">
        <v>305</v>
      </c>
      <c r="B7" s="36">
        <v>44642.520374004635</v>
      </c>
    </row>
    <row r="8" customFormat="true" s="17">
      <c r="A8" s="34"/>
      <c r="B8" s="26"/>
    </row>
    <row r="9" ht="18.75" customFormat="true" s="17">
      <c r="A9" s="57" t="s">
        <v>317</v>
      </c>
    </row>
    <row r="10" customFormat="true" s="58">
      <c r="A10" s="11" t="s">
        <v>307</v>
      </c>
      <c r="B10" s="11" t="s">
        <v>308</v>
      </c>
      <c r="C10" s="68" t="s">
        <v>5</v>
      </c>
      <c r="D10" s="69" t="s">
        <v>6</v>
      </c>
      <c r="E10" s="11" t="s">
        <v>7</v>
      </c>
      <c r="F10" s="11" t="s">
        <v>218</v>
      </c>
      <c r="G10" s="11" t="s">
        <v>318</v>
      </c>
      <c r="H10" s="11" t="s">
        <v>319</v>
      </c>
      <c r="I10" s="68" t="s">
        <v>320</v>
      </c>
      <c r="J10" s="68" t="s">
        <v>308</v>
      </c>
      <c r="K10" s="68" t="s">
        <v>321</v>
      </c>
      <c r="L10" s="68" t="s">
        <v>322</v>
      </c>
      <c r="M10" s="68" t="s">
        <v>308</v>
      </c>
      <c r="N10" s="68" t="s">
        <v>321</v>
      </c>
      <c r="O10" s="69" t="s">
        <v>323</v>
      </c>
      <c r="P10" s="69" t="s">
        <v>308</v>
      </c>
      <c r="Q10" s="69" t="s">
        <v>321</v>
      </c>
      <c r="R10" s="69" t="s">
        <v>324</v>
      </c>
      <c r="S10" s="69" t="s">
        <v>308</v>
      </c>
      <c r="T10" s="69" t="s">
        <v>321</v>
      </c>
    </row>
    <row r="11" customFormat="true" s="17">
      <c r="A11" s="59" t="s">
        <v>20</v>
      </c>
      <c r="B11" s="59" t="s">
        <v>17</v>
      </c>
      <c r="C11" s="70">
        <v>840</v>
      </c>
      <c r="D11" s="71">
        <v>144</v>
      </c>
      <c r="E11" s="60">
        <v>18</v>
      </c>
      <c r="F11" s="61">
        <v>4</v>
      </c>
      <c r="G11" s="59" t="s">
        <v>22</v>
      </c>
      <c r="H11" s="59" t="s">
        <v>24</v>
      </c>
      <c r="I11" s="72" t="s">
        <v>27</v>
      </c>
      <c r="J11" s="72" t="s">
        <v>29</v>
      </c>
      <c r="K11" s="73" t="s">
        <v>265</v>
      </c>
      <c r="L11" s="72"/>
      <c r="M11" s="72"/>
      <c r="N11" s="73" t="s">
        <v>265</v>
      </c>
      <c r="O11" s="74"/>
      <c r="P11" s="74"/>
      <c r="Q11" s="75" t="s">
        <v>265</v>
      </c>
      <c r="R11" s="74"/>
      <c r="S11" s="74"/>
      <c r="T11" s="75" t="s">
        <v>265</v>
      </c>
    </row>
    <row r="12" customFormat="true" s="17">
      <c r="A12" s="59" t="s">
        <v>32</v>
      </c>
      <c r="B12" s="59" t="s">
        <v>31</v>
      </c>
      <c r="C12" s="70">
        <v>456</v>
      </c>
      <c r="D12" s="71">
        <v>144</v>
      </c>
      <c r="E12" s="60">
        <v>18</v>
      </c>
      <c r="F12" s="61">
        <v>4</v>
      </c>
      <c r="G12" s="59" t="s">
        <v>22</v>
      </c>
      <c r="H12" s="59" t="s">
        <v>24</v>
      </c>
      <c r="I12" s="72" t="s">
        <v>27</v>
      </c>
      <c r="J12" s="72" t="s">
        <v>29</v>
      </c>
      <c r="K12" s="73" t="s">
        <v>265</v>
      </c>
      <c r="L12" s="72"/>
      <c r="M12" s="72"/>
      <c r="N12" s="73" t="s">
        <v>265</v>
      </c>
      <c r="O12" s="74"/>
      <c r="P12" s="74"/>
      <c r="Q12" s="75" t="s">
        <v>265</v>
      </c>
      <c r="R12" s="74" t="s">
        <v>27</v>
      </c>
      <c r="S12" s="74" t="s">
        <v>29</v>
      </c>
      <c r="T12" s="75" t="s">
        <v>265</v>
      </c>
    </row>
    <row r="13" customFormat="true" s="17">
      <c r="A13" s="59" t="s">
        <v>38</v>
      </c>
      <c r="B13" s="59" t="s">
        <v>37</v>
      </c>
      <c r="C13" s="70">
        <v>456</v>
      </c>
      <c r="D13" s="71">
        <v>144</v>
      </c>
      <c r="E13" s="60">
        <v>18</v>
      </c>
      <c r="F13" s="61">
        <v>4</v>
      </c>
      <c r="G13" s="59" t="s">
        <v>22</v>
      </c>
      <c r="H13" s="59" t="s">
        <v>24</v>
      </c>
      <c r="I13" s="72" t="s">
        <v>27</v>
      </c>
      <c r="J13" s="72" t="s">
        <v>29</v>
      </c>
      <c r="K13" s="73" t="s">
        <v>265</v>
      </c>
      <c r="L13" s="72"/>
      <c r="M13" s="72"/>
      <c r="N13" s="73" t="s">
        <v>265</v>
      </c>
      <c r="O13" s="74" t="s">
        <v>27</v>
      </c>
      <c r="P13" s="74" t="s">
        <v>29</v>
      </c>
      <c r="Q13" s="75" t="s">
        <v>265</v>
      </c>
      <c r="R13" s="74"/>
      <c r="S13" s="74"/>
      <c r="T13" s="75" t="s">
        <v>265</v>
      </c>
    </row>
    <row r="14" customFormat="true" s="17">
      <c r="A14" s="59" t="s">
        <v>44</v>
      </c>
      <c r="B14" s="59" t="s">
        <v>43</v>
      </c>
      <c r="C14" s="70">
        <v>840</v>
      </c>
      <c r="D14" s="71">
        <v>144</v>
      </c>
      <c r="E14" s="60">
        <v>18</v>
      </c>
      <c r="F14" s="61">
        <v>4</v>
      </c>
      <c r="G14" s="59" t="s">
        <v>22</v>
      </c>
      <c r="H14" s="59" t="s">
        <v>24</v>
      </c>
      <c r="I14" s="72" t="s">
        <v>27</v>
      </c>
      <c r="J14" s="72" t="s">
        <v>29</v>
      </c>
      <c r="K14" s="73" t="s">
        <v>265</v>
      </c>
      <c r="L14" s="72"/>
      <c r="M14" s="72"/>
      <c r="N14" s="73" t="s">
        <v>265</v>
      </c>
      <c r="O14" s="74"/>
      <c r="P14" s="74"/>
      <c r="Q14" s="75" t="s">
        <v>265</v>
      </c>
      <c r="R14" s="74"/>
      <c r="S14" s="74"/>
      <c r="T14" s="75" t="s">
        <v>265</v>
      </c>
    </row>
    <row r="15" customFormat="true" s="17">
      <c r="A15" s="59" t="s">
        <v>49</v>
      </c>
      <c r="B15" s="59" t="s">
        <v>48</v>
      </c>
      <c r="C15" s="70">
        <v>875</v>
      </c>
      <c r="D15" s="71">
        <v>453</v>
      </c>
      <c r="E15" s="60">
        <v>3</v>
      </c>
      <c r="F15" s="61">
        <v>4</v>
      </c>
      <c r="G15" s="59" t="s">
        <v>51</v>
      </c>
      <c r="H15" s="59" t="s">
        <v>53</v>
      </c>
      <c r="I15" s="72"/>
      <c r="J15" s="72"/>
      <c r="K15" s="73" t="s">
        <v>265</v>
      </c>
      <c r="L15" s="72"/>
      <c r="M15" s="72"/>
      <c r="N15" s="73" t="s">
        <v>265</v>
      </c>
      <c r="O15" s="74"/>
      <c r="P15" s="74"/>
      <c r="Q15" s="75" t="s">
        <v>265</v>
      </c>
      <c r="R15" s="74"/>
      <c r="S15" s="74"/>
      <c r="T15" s="75" t="s">
        <v>265</v>
      </c>
    </row>
    <row r="16" customFormat="true" s="17">
      <c r="A16" s="59" t="s">
        <v>63</v>
      </c>
      <c r="B16" s="59" t="s">
        <v>62</v>
      </c>
      <c r="C16" s="70">
        <v>1900</v>
      </c>
      <c r="D16" s="71">
        <v>362</v>
      </c>
      <c r="E16" s="60">
        <v>18</v>
      </c>
      <c r="F16" s="61">
        <v>1</v>
      </c>
      <c r="G16" s="59" t="s">
        <v>22</v>
      </c>
      <c r="H16" s="59" t="s">
        <v>24</v>
      </c>
      <c r="I16" s="72"/>
      <c r="J16" s="72"/>
      <c r="K16" s="73" t="s">
        <v>265</v>
      </c>
      <c r="L16" s="72"/>
      <c r="M16" s="72"/>
      <c r="N16" s="73" t="s">
        <v>265</v>
      </c>
      <c r="O16" s="74" t="s">
        <v>27</v>
      </c>
      <c r="P16" s="74" t="s">
        <v>29</v>
      </c>
      <c r="Q16" s="75" t="s">
        <v>265</v>
      </c>
      <c r="R16" s="74" t="s">
        <v>27</v>
      </c>
      <c r="S16" s="74" t="s">
        <v>29</v>
      </c>
      <c r="T16" s="75" t="s">
        <v>265</v>
      </c>
    </row>
    <row r="17" customFormat="true" s="17">
      <c r="A17" s="59" t="s">
        <v>69</v>
      </c>
      <c r="B17" s="59" t="s">
        <v>68</v>
      </c>
      <c r="C17" s="70">
        <v>1054</v>
      </c>
      <c r="D17" s="71">
        <v>362</v>
      </c>
      <c r="E17" s="60">
        <v>18</v>
      </c>
      <c r="F17" s="61">
        <v>1</v>
      </c>
      <c r="G17" s="59" t="s">
        <v>22</v>
      </c>
      <c r="H17" s="59" t="s">
        <v>24</v>
      </c>
      <c r="I17" s="72"/>
      <c r="J17" s="72"/>
      <c r="K17" s="73" t="s">
        <v>265</v>
      </c>
      <c r="L17" s="72"/>
      <c r="M17" s="72"/>
      <c r="N17" s="73" t="s">
        <v>265</v>
      </c>
      <c r="O17" s="74"/>
      <c r="P17" s="74"/>
      <c r="Q17" s="75" t="s">
        <v>265</v>
      </c>
      <c r="R17" s="74"/>
      <c r="S17" s="74"/>
      <c r="T17" s="75" t="s">
        <v>265</v>
      </c>
    </row>
    <row r="18" customFormat="true" s="17">
      <c r="A18" s="59" t="s">
        <v>73</v>
      </c>
      <c r="B18" s="59" t="s">
        <v>72</v>
      </c>
      <c r="C18" s="70">
        <v>500</v>
      </c>
      <c r="D18" s="71">
        <v>362</v>
      </c>
      <c r="E18" s="60">
        <v>18</v>
      </c>
      <c r="F18" s="61">
        <v>1</v>
      </c>
      <c r="G18" s="59" t="s">
        <v>22</v>
      </c>
      <c r="H18" s="59" t="s">
        <v>24</v>
      </c>
      <c r="I18" s="72"/>
      <c r="J18" s="72"/>
      <c r="K18" s="73" t="s">
        <v>265</v>
      </c>
      <c r="L18" s="72"/>
      <c r="M18" s="72"/>
      <c r="N18" s="73" t="s">
        <v>265</v>
      </c>
      <c r="O18" s="74" t="s">
        <v>27</v>
      </c>
      <c r="P18" s="74" t="s">
        <v>29</v>
      </c>
      <c r="Q18" s="75" t="s">
        <v>265</v>
      </c>
      <c r="R18" s="74"/>
      <c r="S18" s="74"/>
      <c r="T18" s="75" t="s">
        <v>265</v>
      </c>
    </row>
    <row r="19" customFormat="true" s="17">
      <c r="A19" s="59" t="s">
        <v>78</v>
      </c>
      <c r="B19" s="59" t="s">
        <v>77</v>
      </c>
      <c r="C19" s="70">
        <v>252</v>
      </c>
      <c r="D19" s="71">
        <v>362</v>
      </c>
      <c r="E19" s="60">
        <v>18</v>
      </c>
      <c r="F19" s="61">
        <v>1</v>
      </c>
      <c r="G19" s="59" t="s">
        <v>22</v>
      </c>
      <c r="H19" s="59" t="s">
        <v>24</v>
      </c>
      <c r="I19" s="72"/>
      <c r="J19" s="72"/>
      <c r="K19" s="73" t="s">
        <v>265</v>
      </c>
      <c r="L19" s="72"/>
      <c r="M19" s="72"/>
      <c r="N19" s="73" t="s">
        <v>265</v>
      </c>
      <c r="O19" s="74"/>
      <c r="P19" s="74"/>
      <c r="Q19" s="75" t="s">
        <v>265</v>
      </c>
      <c r="R19" s="74"/>
      <c r="S19" s="74"/>
      <c r="T19" s="75" t="s">
        <v>265</v>
      </c>
    </row>
    <row r="20" customFormat="true" s="17">
      <c r="A20" s="59" t="s">
        <v>82</v>
      </c>
      <c r="B20" s="59" t="s">
        <v>81</v>
      </c>
      <c r="C20" s="70">
        <v>1400</v>
      </c>
      <c r="D20" s="71">
        <v>498</v>
      </c>
      <c r="E20" s="60">
        <v>25</v>
      </c>
      <c r="F20" s="61">
        <v>1</v>
      </c>
      <c r="G20" s="59" t="s">
        <v>22</v>
      </c>
      <c r="H20" s="59" t="s">
        <v>24</v>
      </c>
      <c r="I20" s="72"/>
      <c r="J20" s="72"/>
      <c r="K20" s="73" t="s">
        <v>265</v>
      </c>
      <c r="L20" s="72" t="s">
        <v>27</v>
      </c>
      <c r="M20" s="72" t="s">
        <v>29</v>
      </c>
      <c r="N20" s="73" t="s">
        <v>265</v>
      </c>
      <c r="O20" s="74" t="s">
        <v>27</v>
      </c>
      <c r="P20" s="74" t="s">
        <v>29</v>
      </c>
      <c r="Q20" s="75" t="s">
        <v>265</v>
      </c>
      <c r="R20" s="74" t="s">
        <v>27</v>
      </c>
      <c r="S20" s="74" t="s">
        <v>29</v>
      </c>
      <c r="T20" s="75" t="s">
        <v>265</v>
      </c>
    </row>
    <row r="21" customFormat="true" s="17">
      <c r="A21" s="59" t="s">
        <v>89</v>
      </c>
      <c r="B21" s="59" t="s">
        <v>88</v>
      </c>
      <c r="C21" s="70">
        <v>777</v>
      </c>
      <c r="D21" s="71">
        <v>476</v>
      </c>
      <c r="E21" s="60">
        <v>18</v>
      </c>
      <c r="F21" s="61">
        <v>1</v>
      </c>
      <c r="G21" s="59" t="s">
        <v>22</v>
      </c>
      <c r="H21" s="59" t="s">
        <v>24</v>
      </c>
      <c r="I21" s="72" t="s">
        <v>27</v>
      </c>
      <c r="J21" s="72" t="s">
        <v>29</v>
      </c>
      <c r="K21" s="73" t="s">
        <v>265</v>
      </c>
      <c r="L21" s="72"/>
      <c r="M21" s="72"/>
      <c r="N21" s="73" t="s">
        <v>265</v>
      </c>
      <c r="O21" s="74"/>
      <c r="P21" s="74"/>
      <c r="Q21" s="75" t="s">
        <v>265</v>
      </c>
      <c r="R21" s="74"/>
      <c r="S21" s="74"/>
      <c r="T21" s="75" t="s">
        <v>265</v>
      </c>
    </row>
    <row r="22" customFormat="true" s="17">
      <c r="A22" s="59" t="s">
        <v>94</v>
      </c>
      <c r="B22" s="59" t="s">
        <v>93</v>
      </c>
      <c r="C22" s="70">
        <v>1400</v>
      </c>
      <c r="D22" s="71">
        <v>480</v>
      </c>
      <c r="E22" s="60">
        <v>18</v>
      </c>
      <c r="F22" s="61">
        <v>1</v>
      </c>
      <c r="G22" s="59" t="s">
        <v>22</v>
      </c>
      <c r="H22" s="59" t="s">
        <v>24</v>
      </c>
      <c r="I22" s="72"/>
      <c r="J22" s="72"/>
      <c r="K22" s="73" t="s">
        <v>265</v>
      </c>
      <c r="L22" s="72"/>
      <c r="M22" s="72"/>
      <c r="N22" s="73" t="s">
        <v>265</v>
      </c>
      <c r="O22" s="74" t="s">
        <v>27</v>
      </c>
      <c r="P22" s="74" t="s">
        <v>29</v>
      </c>
      <c r="Q22" s="75" t="s">
        <v>265</v>
      </c>
      <c r="R22" s="74" t="s">
        <v>27</v>
      </c>
      <c r="S22" s="74" t="s">
        <v>29</v>
      </c>
      <c r="T22" s="75" t="s">
        <v>265</v>
      </c>
    </row>
    <row r="23" customFormat="true" s="17">
      <c r="A23" s="59" t="s">
        <v>100</v>
      </c>
      <c r="B23" s="59" t="s">
        <v>99</v>
      </c>
      <c r="C23" s="70">
        <v>777</v>
      </c>
      <c r="D23" s="71">
        <v>480</v>
      </c>
      <c r="E23" s="60">
        <v>18</v>
      </c>
      <c r="F23" s="61">
        <v>1</v>
      </c>
      <c r="G23" s="59" t="s">
        <v>22</v>
      </c>
      <c r="H23" s="59" t="s">
        <v>24</v>
      </c>
      <c r="I23" s="72"/>
      <c r="J23" s="72"/>
      <c r="K23" s="73" t="s">
        <v>265</v>
      </c>
      <c r="L23" s="72"/>
      <c r="M23" s="72"/>
      <c r="N23" s="73" t="s">
        <v>265</v>
      </c>
      <c r="O23" s="74"/>
      <c r="P23" s="74"/>
      <c r="Q23" s="75" t="s">
        <v>265</v>
      </c>
      <c r="R23" s="74"/>
      <c r="S23" s="74"/>
      <c r="T23" s="75" t="s">
        <v>265</v>
      </c>
    </row>
    <row r="24" customFormat="true" s="17">
      <c r="A24" s="59" t="s">
        <v>104</v>
      </c>
      <c r="B24" s="59" t="s">
        <v>103</v>
      </c>
      <c r="C24" s="70">
        <v>777</v>
      </c>
      <c r="D24" s="71">
        <v>476</v>
      </c>
      <c r="E24" s="60">
        <v>18</v>
      </c>
      <c r="F24" s="61">
        <v>1</v>
      </c>
      <c r="G24" s="59" t="s">
        <v>22</v>
      </c>
      <c r="H24" s="59" t="s">
        <v>24</v>
      </c>
      <c r="I24" s="72"/>
      <c r="J24" s="72"/>
      <c r="K24" s="73" t="s">
        <v>265</v>
      </c>
      <c r="L24" s="72" t="s">
        <v>27</v>
      </c>
      <c r="M24" s="72" t="s">
        <v>29</v>
      </c>
      <c r="N24" s="73" t="s">
        <v>265</v>
      </c>
      <c r="O24" s="74"/>
      <c r="P24" s="74"/>
      <c r="Q24" s="75" t="s">
        <v>265</v>
      </c>
      <c r="R24" s="74"/>
      <c r="S24" s="74"/>
      <c r="T24" s="75" t="s">
        <v>265</v>
      </c>
    </row>
    <row r="25" customFormat="true" s="17">
      <c r="A25" s="59" t="s">
        <v>109</v>
      </c>
      <c r="B25" s="59" t="s">
        <v>108</v>
      </c>
      <c r="C25" s="70">
        <v>1900</v>
      </c>
      <c r="D25" s="71">
        <v>70</v>
      </c>
      <c r="E25" s="60">
        <v>18</v>
      </c>
      <c r="F25" s="61">
        <v>1</v>
      </c>
      <c r="G25" s="59" t="s">
        <v>22</v>
      </c>
      <c r="H25" s="59" t="s">
        <v>24</v>
      </c>
      <c r="I25" s="72" t="s">
        <v>27</v>
      </c>
      <c r="J25" s="72" t="s">
        <v>29</v>
      </c>
      <c r="K25" s="73" t="s">
        <v>265</v>
      </c>
      <c r="L25" s="72" t="s">
        <v>27</v>
      </c>
      <c r="M25" s="72" t="s">
        <v>29</v>
      </c>
      <c r="N25" s="73" t="s">
        <v>265</v>
      </c>
      <c r="O25" s="74" t="s">
        <v>27</v>
      </c>
      <c r="P25" s="74" t="s">
        <v>29</v>
      </c>
      <c r="Q25" s="75" t="s">
        <v>265</v>
      </c>
      <c r="R25" s="74" t="s">
        <v>27</v>
      </c>
      <c r="S25" s="74" t="s">
        <v>29</v>
      </c>
      <c r="T25" s="75" t="s">
        <v>265</v>
      </c>
    </row>
    <row r="26" customFormat="true" s="17">
      <c r="A26" s="59" t="s">
        <v>117</v>
      </c>
      <c r="B26" s="59" t="s">
        <v>116</v>
      </c>
      <c r="C26" s="70">
        <v>950</v>
      </c>
      <c r="D26" s="71">
        <v>70</v>
      </c>
      <c r="E26" s="60">
        <v>18</v>
      </c>
      <c r="F26" s="61">
        <v>1</v>
      </c>
      <c r="G26" s="59" t="s">
        <v>22</v>
      </c>
      <c r="H26" s="59" t="s">
        <v>24</v>
      </c>
      <c r="I26" s="72" t="s">
        <v>27</v>
      </c>
      <c r="J26" s="72" t="s">
        <v>29</v>
      </c>
      <c r="K26" s="73" t="s">
        <v>265</v>
      </c>
      <c r="L26" s="72" t="s">
        <v>27</v>
      </c>
      <c r="M26" s="72" t="s">
        <v>29</v>
      </c>
      <c r="N26" s="73" t="s">
        <v>265</v>
      </c>
      <c r="O26" s="74"/>
      <c r="P26" s="74"/>
      <c r="Q26" s="75" t="s">
        <v>265</v>
      </c>
      <c r="R26" s="74"/>
      <c r="S26" s="74"/>
      <c r="T26" s="75" t="s">
        <v>265</v>
      </c>
    </row>
    <row r="27" customFormat="true" s="17">
      <c r="A27" s="59" t="s">
        <v>123</v>
      </c>
      <c r="B27" s="59" t="s">
        <v>122</v>
      </c>
      <c r="C27" s="70">
        <v>500</v>
      </c>
      <c r="D27" s="71">
        <v>70</v>
      </c>
      <c r="E27" s="60">
        <v>18</v>
      </c>
      <c r="F27" s="61">
        <v>1</v>
      </c>
      <c r="G27" s="59" t="s">
        <v>22</v>
      </c>
      <c r="H27" s="59" t="s">
        <v>24</v>
      </c>
      <c r="I27" s="72" t="s">
        <v>27</v>
      </c>
      <c r="J27" s="72" t="s">
        <v>29</v>
      </c>
      <c r="K27" s="73" t="s">
        <v>265</v>
      </c>
      <c r="L27" s="72" t="s">
        <v>27</v>
      </c>
      <c r="M27" s="72" t="s">
        <v>29</v>
      </c>
      <c r="N27" s="73" t="s">
        <v>265</v>
      </c>
      <c r="O27" s="74" t="s">
        <v>27</v>
      </c>
      <c r="P27" s="74" t="s">
        <v>29</v>
      </c>
      <c r="Q27" s="75" t="s">
        <v>265</v>
      </c>
      <c r="R27" s="74"/>
      <c r="S27" s="74"/>
      <c r="T27" s="75" t="s">
        <v>265</v>
      </c>
    </row>
    <row r="28" customFormat="true" s="17">
      <c r="A28" s="59" t="s">
        <v>130</v>
      </c>
      <c r="B28" s="59" t="s">
        <v>129</v>
      </c>
      <c r="C28" s="70">
        <v>200</v>
      </c>
      <c r="D28" s="71">
        <v>70</v>
      </c>
      <c r="E28" s="60">
        <v>18</v>
      </c>
      <c r="F28" s="61">
        <v>1</v>
      </c>
      <c r="G28" s="59" t="s">
        <v>22</v>
      </c>
      <c r="H28" s="59" t="s">
        <v>24</v>
      </c>
      <c r="I28" s="72" t="s">
        <v>27</v>
      </c>
      <c r="J28" s="72" t="s">
        <v>29</v>
      </c>
      <c r="K28" s="73" t="s">
        <v>265</v>
      </c>
      <c r="L28" s="72" t="s">
        <v>27</v>
      </c>
      <c r="M28" s="72" t="s">
        <v>29</v>
      </c>
      <c r="N28" s="73" t="s">
        <v>265</v>
      </c>
      <c r="O28" s="74"/>
      <c r="P28" s="74"/>
      <c r="Q28" s="75" t="s">
        <v>265</v>
      </c>
      <c r="R28" s="74"/>
      <c r="S28" s="74"/>
      <c r="T28" s="75" t="s">
        <v>265</v>
      </c>
    </row>
    <row r="29" customFormat="true" s="17">
      <c r="A29" s="59" t="s">
        <v>136</v>
      </c>
      <c r="B29" s="59" t="s">
        <v>135</v>
      </c>
      <c r="C29" s="70">
        <v>1400</v>
      </c>
      <c r="D29" s="71">
        <v>70</v>
      </c>
      <c r="E29" s="60">
        <v>18</v>
      </c>
      <c r="F29" s="61">
        <v>1</v>
      </c>
      <c r="G29" s="59" t="s">
        <v>22</v>
      </c>
      <c r="H29" s="59" t="s">
        <v>24</v>
      </c>
      <c r="I29" s="72" t="s">
        <v>27</v>
      </c>
      <c r="J29" s="72" t="s">
        <v>29</v>
      </c>
      <c r="K29" s="73" t="s">
        <v>265</v>
      </c>
      <c r="L29" s="72" t="s">
        <v>27</v>
      </c>
      <c r="M29" s="72" t="s">
        <v>29</v>
      </c>
      <c r="N29" s="73" t="s">
        <v>265</v>
      </c>
      <c r="O29" s="74" t="s">
        <v>27</v>
      </c>
      <c r="P29" s="74" t="s">
        <v>29</v>
      </c>
      <c r="Q29" s="75" t="s">
        <v>265</v>
      </c>
      <c r="R29" s="74" t="s">
        <v>27</v>
      </c>
      <c r="S29" s="74" t="s">
        <v>29</v>
      </c>
      <c r="T29" s="75" t="s">
        <v>265</v>
      </c>
    </row>
    <row r="30" customFormat="true" s="17">
      <c r="A30" s="59" t="s">
        <v>144</v>
      </c>
      <c r="B30" s="59" t="s">
        <v>143</v>
      </c>
      <c r="C30" s="70">
        <v>725</v>
      </c>
      <c r="D30" s="71">
        <v>70</v>
      </c>
      <c r="E30" s="60">
        <v>18</v>
      </c>
      <c r="F30" s="61">
        <v>1</v>
      </c>
      <c r="G30" s="59" t="s">
        <v>22</v>
      </c>
      <c r="H30" s="59" t="s">
        <v>24</v>
      </c>
      <c r="I30" s="72" t="s">
        <v>27</v>
      </c>
      <c r="J30" s="72" t="s">
        <v>29</v>
      </c>
      <c r="K30" s="73" t="s">
        <v>265</v>
      </c>
      <c r="L30" s="72" t="s">
        <v>27</v>
      </c>
      <c r="M30" s="72" t="s">
        <v>29</v>
      </c>
      <c r="N30" s="73" t="s">
        <v>265</v>
      </c>
      <c r="O30" s="74"/>
      <c r="P30" s="74"/>
      <c r="Q30" s="75" t="s">
        <v>265</v>
      </c>
      <c r="R30" s="74"/>
      <c r="S30" s="74"/>
      <c r="T30" s="75" t="s">
        <v>265</v>
      </c>
    </row>
    <row r="31" customFormat="true" s="17">
      <c r="A31" s="59" t="s">
        <v>150</v>
      </c>
      <c r="B31" s="59" t="s">
        <v>149</v>
      </c>
      <c r="C31" s="70">
        <v>777</v>
      </c>
      <c r="D31" s="71">
        <v>476</v>
      </c>
      <c r="E31" s="60">
        <v>18</v>
      </c>
      <c r="F31" s="61">
        <v>1</v>
      </c>
      <c r="G31" s="59" t="s">
        <v>22</v>
      </c>
      <c r="H31" s="59" t="s">
        <v>24</v>
      </c>
      <c r="I31" s="72"/>
      <c r="J31" s="72"/>
      <c r="K31" s="73" t="s">
        <v>265</v>
      </c>
      <c r="L31" s="72" t="s">
        <v>27</v>
      </c>
      <c r="M31" s="72" t="s">
        <v>29</v>
      </c>
      <c r="N31" s="73" t="s">
        <v>265</v>
      </c>
      <c r="O31" s="74"/>
      <c r="P31" s="74"/>
      <c r="Q31" s="75" t="s">
        <v>265</v>
      </c>
      <c r="R31" s="74"/>
      <c r="S31" s="74"/>
      <c r="T31" s="75" t="s">
        <v>265</v>
      </c>
    </row>
    <row r="32" customFormat="true" s="17">
      <c r="A32" s="59" t="s">
        <v>155</v>
      </c>
      <c r="B32" s="59" t="s">
        <v>154</v>
      </c>
      <c r="C32" s="70">
        <v>402</v>
      </c>
      <c r="D32" s="71">
        <v>715</v>
      </c>
      <c r="E32" s="60">
        <v>18</v>
      </c>
      <c r="F32" s="61">
        <v>1</v>
      </c>
      <c r="G32" s="59" t="s">
        <v>22</v>
      </c>
      <c r="H32" s="59" t="s">
        <v>24</v>
      </c>
      <c r="I32" s="72" t="s">
        <v>27</v>
      </c>
      <c r="J32" s="72" t="s">
        <v>29</v>
      </c>
      <c r="K32" s="73" t="s">
        <v>265</v>
      </c>
      <c r="L32" s="72" t="s">
        <v>27</v>
      </c>
      <c r="M32" s="72" t="s">
        <v>29</v>
      </c>
      <c r="N32" s="73" t="s">
        <v>265</v>
      </c>
      <c r="O32" s="74" t="s">
        <v>27</v>
      </c>
      <c r="P32" s="74" t="s">
        <v>29</v>
      </c>
      <c r="Q32" s="75" t="s">
        <v>265</v>
      </c>
      <c r="R32" s="74" t="s">
        <v>27</v>
      </c>
      <c r="S32" s="74" t="s">
        <v>29</v>
      </c>
      <c r="T32" s="75" t="s">
        <v>265</v>
      </c>
    </row>
    <row r="33" customFormat="true" s="17">
      <c r="A33" s="59" t="s">
        <v>163</v>
      </c>
      <c r="B33" s="59" t="s">
        <v>162</v>
      </c>
      <c r="C33" s="70">
        <v>252</v>
      </c>
      <c r="D33" s="71">
        <v>358</v>
      </c>
      <c r="E33" s="60">
        <v>18</v>
      </c>
      <c r="F33" s="61">
        <v>1</v>
      </c>
      <c r="G33" s="59" t="s">
        <v>22</v>
      </c>
      <c r="H33" s="59" t="s">
        <v>24</v>
      </c>
      <c r="I33" s="72" t="s">
        <v>27</v>
      </c>
      <c r="J33" s="72" t="s">
        <v>29</v>
      </c>
      <c r="K33" s="73" t="s">
        <v>265</v>
      </c>
      <c r="L33" s="72"/>
      <c r="M33" s="72"/>
      <c r="N33" s="73" t="s">
        <v>265</v>
      </c>
      <c r="O33" s="74"/>
      <c r="P33" s="74"/>
      <c r="Q33" s="75" t="s">
        <v>265</v>
      </c>
      <c r="R33" s="74"/>
      <c r="S33" s="74"/>
      <c r="T33" s="75" t="s">
        <v>265</v>
      </c>
    </row>
    <row r="34" customFormat="true" s="17">
      <c r="A34" s="59" t="s">
        <v>168</v>
      </c>
      <c r="B34" s="59" t="s">
        <v>167</v>
      </c>
      <c r="C34" s="70">
        <v>899</v>
      </c>
      <c r="D34" s="71">
        <v>1070</v>
      </c>
      <c r="E34" s="60">
        <v>4</v>
      </c>
      <c r="F34" s="61">
        <v>1</v>
      </c>
      <c r="G34" s="59" t="s">
        <v>51</v>
      </c>
      <c r="H34" s="59" t="s">
        <v>53</v>
      </c>
      <c r="I34" s="72"/>
      <c r="J34" s="72"/>
      <c r="K34" s="73" t="s">
        <v>265</v>
      </c>
      <c r="L34" s="72"/>
      <c r="M34" s="72"/>
      <c r="N34" s="73" t="s">
        <v>265</v>
      </c>
      <c r="O34" s="74"/>
      <c r="P34" s="74"/>
      <c r="Q34" s="75" t="s">
        <v>265</v>
      </c>
      <c r="R34" s="74"/>
      <c r="S34" s="74"/>
      <c r="T34" s="75" t="s">
        <v>265</v>
      </c>
    </row>
    <row r="35" customFormat="true" s="17">
      <c r="A35" s="59" t="s">
        <v>172</v>
      </c>
      <c r="B35" s="59" t="s">
        <v>171</v>
      </c>
      <c r="C35" s="70">
        <v>981</v>
      </c>
      <c r="D35" s="71">
        <v>1070</v>
      </c>
      <c r="E35" s="60">
        <v>4</v>
      </c>
      <c r="F35" s="61">
        <v>1</v>
      </c>
      <c r="G35" s="59" t="s">
        <v>51</v>
      </c>
      <c r="H35" s="59" t="s">
        <v>53</v>
      </c>
      <c r="I35" s="72"/>
      <c r="J35" s="72"/>
      <c r="K35" s="73" t="s">
        <v>265</v>
      </c>
      <c r="L35" s="72"/>
      <c r="M35" s="72"/>
      <c r="N35" s="73" t="s">
        <v>265</v>
      </c>
      <c r="O35" s="74"/>
      <c r="P35" s="74"/>
      <c r="Q35" s="75" t="s">
        <v>265</v>
      </c>
      <c r="R35" s="74"/>
      <c r="S35" s="74"/>
      <c r="T35" s="75" t="s">
        <v>265</v>
      </c>
    </row>
    <row r="36" customFormat="true" s="17">
      <c r="A36" s="59" t="s">
        <v>176</v>
      </c>
      <c r="B36" s="59" t="s">
        <v>175</v>
      </c>
      <c r="C36" s="70">
        <v>914</v>
      </c>
      <c r="D36" s="71">
        <v>174</v>
      </c>
      <c r="E36" s="60">
        <v>18</v>
      </c>
      <c r="F36" s="61">
        <v>4</v>
      </c>
      <c r="G36" s="59" t="s">
        <v>22</v>
      </c>
      <c r="H36" s="59" t="s">
        <v>24</v>
      </c>
      <c r="I36" s="72" t="s">
        <v>27</v>
      </c>
      <c r="J36" s="72" t="s">
        <v>29</v>
      </c>
      <c r="K36" s="73" t="s">
        <v>265</v>
      </c>
      <c r="L36" s="72" t="s">
        <v>27</v>
      </c>
      <c r="M36" s="72" t="s">
        <v>29</v>
      </c>
      <c r="N36" s="73" t="s">
        <v>265</v>
      </c>
      <c r="O36" s="74" t="s">
        <v>27</v>
      </c>
      <c r="P36" s="74" t="s">
        <v>29</v>
      </c>
      <c r="Q36" s="75" t="s">
        <v>265</v>
      </c>
      <c r="R36" s="74" t="s">
        <v>27</v>
      </c>
      <c r="S36" s="74" t="s">
        <v>29</v>
      </c>
      <c r="T36" s="75" t="s">
        <v>265</v>
      </c>
    </row>
    <row r="37" customFormat="true" s="17">
      <c r="A37" s="59" t="s">
        <v>184</v>
      </c>
      <c r="B37" s="59" t="s">
        <v>183</v>
      </c>
      <c r="C37" s="70">
        <v>479</v>
      </c>
      <c r="D37" s="71">
        <v>351</v>
      </c>
      <c r="E37" s="60">
        <v>18</v>
      </c>
      <c r="F37" s="61">
        <v>2</v>
      </c>
      <c r="G37" s="59" t="s">
        <v>22</v>
      </c>
      <c r="H37" s="59" t="s">
        <v>24</v>
      </c>
      <c r="I37" s="72" t="s">
        <v>27</v>
      </c>
      <c r="J37" s="72" t="s">
        <v>29</v>
      </c>
      <c r="K37" s="73" t="s">
        <v>265</v>
      </c>
      <c r="L37" s="72" t="s">
        <v>27</v>
      </c>
      <c r="M37" s="72" t="s">
        <v>29</v>
      </c>
      <c r="N37" s="73" t="s">
        <v>265</v>
      </c>
      <c r="O37" s="74" t="s">
        <v>27</v>
      </c>
      <c r="P37" s="74" t="s">
        <v>29</v>
      </c>
      <c r="Q37" s="75" t="s">
        <v>265</v>
      </c>
      <c r="R37" s="74" t="s">
        <v>27</v>
      </c>
      <c r="S37" s="74" t="s">
        <v>29</v>
      </c>
      <c r="T37" s="75" t="s">
        <v>265</v>
      </c>
    </row>
    <row r="38" customFormat="true" s="17">
      <c r="A38" s="59" t="s">
        <v>192</v>
      </c>
      <c r="B38" s="59" t="s">
        <v>191</v>
      </c>
      <c r="C38" s="70">
        <v>456</v>
      </c>
      <c r="D38" s="71">
        <v>379</v>
      </c>
      <c r="E38" s="60">
        <v>18</v>
      </c>
      <c r="F38" s="61">
        <v>2</v>
      </c>
      <c r="G38" s="59" t="s">
        <v>22</v>
      </c>
      <c r="H38" s="59" t="s">
        <v>24</v>
      </c>
      <c r="I38" s="72" t="s">
        <v>27</v>
      </c>
      <c r="J38" s="72" t="s">
        <v>29</v>
      </c>
      <c r="K38" s="73" t="s">
        <v>265</v>
      </c>
      <c r="L38" s="72" t="s">
        <v>27</v>
      </c>
      <c r="M38" s="72" t="s">
        <v>29</v>
      </c>
      <c r="N38" s="73" t="s">
        <v>265</v>
      </c>
      <c r="O38" s="74" t="s">
        <v>27</v>
      </c>
      <c r="P38" s="74" t="s">
        <v>29</v>
      </c>
      <c r="Q38" s="75" t="s">
        <v>265</v>
      </c>
      <c r="R38" s="74" t="s">
        <v>27</v>
      </c>
      <c r="S38" s="74" t="s">
        <v>29</v>
      </c>
      <c r="T38" s="75" t="s">
        <v>265</v>
      </c>
    </row>
  </sheetData>
  <pageMargins left="0.69999999999999996" right="0.69999999999999996" top="0.75" bottom="0.75" header="0.29999999999999999" footer="0.29999999999999999"/>
  <pageSetup orientation="portrait" scale="100" paperSize="1" fitToWidth="1" fitToHeight="1" horizontalDpi="600" verticalDpi="600" copies="1" r:id="rId1"/>
</worksheet>
</file>

<file path=xl/worksheets/sheet7.xml><?xml version="1.0" encoding="utf-8"?>
<worksheet xmlns="http://schemas.openxmlformats.org/spreadsheetml/2006/main" xmlns:r="http://schemas.openxmlformats.org/officeDocument/2006/relationships" xmlns:x14="http://schemas.microsoft.com/office/spreadsheetml/2009/9/main">
  <sheetPr codeName="Sheet9"/>
  <dimension ref="A1:J8"/>
  <sheetViews>
    <sheetView workbookViewId="0" topLeftCell="A1" zoomScaleNormal="100" zoomScaleSheetLayoutView="60" zoomScale="100" view="normal">
      <selection activeCell="C28" sqref="C28"/>
    </sheetView>
  </sheetViews>
  <sheetFormatPr defaultRowHeight="15"/>
  <cols>
    <col min="1" max="1" width="25.71094" customWidth="1"/>
    <col min="2" max="2" width="30.71094" customWidth="1"/>
    <col min="3" max="6" width="10.71094" customWidth="1"/>
    <col min="7" max="7" width="35.71094" customWidth="1"/>
    <col min="8" max="8" width="40.71094" customWidth="1"/>
    <col min="9" max="9" width="25.71094" customWidth="1"/>
    <col min="10" max="10" width="20.71094" customWidth="1"/>
  </cols>
  <sheetData>
    <row r="1" ht="21" customFormat="true" s="17">
      <c r="A1" s="32" t="s">
        <v>325</v>
      </c>
      <c r="B1" s="32"/>
      <c r="I1" s="17"/>
      <c r="J1" s="17"/>
    </row>
    <row r="2">
      <c r="A2" s="34" t="s">
        <v>299</v>
      </c>
      <c r="B2" s="35" t="s">
        <v>14</v>
      </c>
      <c r="C2" s="17"/>
    </row>
    <row r="3">
      <c r="A3" s="34" t="s">
        <v>300</v>
      </c>
      <c r="B3" s="26" t="s">
        <v>11</v>
      </c>
      <c r="C3" s="17"/>
    </row>
    <row r="4">
      <c r="A4" s="34" t="s">
        <v>301</v>
      </c>
      <c r="B4" s="26"/>
      <c r="C4" s="17"/>
    </row>
    <row r="5">
      <c r="A5" s="34" t="s">
        <v>302</v>
      </c>
      <c r="B5" s="26" t="s">
        <v>303</v>
      </c>
      <c r="C5" s="17"/>
    </row>
    <row r="6">
      <c r="A6" s="34" t="s">
        <v>304</v>
      </c>
      <c r="B6" s="26" t="s">
        <v>303</v>
      </c>
      <c r="C6" s="17"/>
    </row>
    <row r="7">
      <c r="A7" s="34" t="s">
        <v>305</v>
      </c>
      <c r="B7" s="36">
        <v>44642.520374004635</v>
      </c>
      <c r="C7" s="37"/>
    </row>
    <row r="8">
      <c r="A8" s="34"/>
      <c r="B8" s="26"/>
      <c r="C8" s="17"/>
    </row>
  </sheetData>
  <mergeCells count="2">
    <mergeCell ref="A1:B1"/>
    <mergeCell ref="B7:C7"/>
  </mergeCells>
  <pageMargins left="0.69999999999999996" right="0.69999999999999996" top="0.75" bottom="0.75" header="0.29999999999999999" footer="0.29999999999999999"/>
  <pageSetup orientation="portrait" scale="100" paperSize="9" fitToWidth="1" fitToHeight="1" horizontalDpi="600" verticalDpi="600" copies="1" r:id="rId1"/>
</worksheet>
</file>

<file path=xl/worksheets/sheet8.xml><?xml version="1.0" encoding="utf-8"?>
<worksheet xmlns="http://schemas.openxmlformats.org/spreadsheetml/2006/main" xmlns:r="http://schemas.openxmlformats.org/officeDocument/2006/relationships" xmlns:x14="http://schemas.microsoft.com/office/spreadsheetml/2009/9/main">
  <sheetPr codeName="Sheet10"/>
  <dimension ref="A1:J7"/>
  <sheetViews>
    <sheetView workbookViewId="0" topLeftCell="A1" zoomScaleNormal="100" zoomScaleSheetLayoutView="60" zoomScale="100" view="normal">
      <selection activeCell="B22" sqref="B22"/>
    </sheetView>
  </sheetViews>
  <sheetFormatPr defaultRowHeight="15"/>
  <cols>
    <col min="1" max="1" width="40.71094" customWidth="1"/>
    <col min="2" max="2" width="30.71094" customWidth="1"/>
    <col min="3" max="6" width="10.71094" customWidth="1"/>
    <col min="7" max="7" width="35.71094" customWidth="1"/>
    <col min="8" max="9" width="40.71094" customWidth="1"/>
    <col min="10" max="10" width="30.71094" customWidth="1"/>
  </cols>
  <sheetData>
    <row r="1" ht="21" customFormat="true" s="17">
      <c r="A1" s="32" t="s">
        <v>326</v>
      </c>
      <c r="B1" s="32"/>
    </row>
    <row r="2">
      <c r="A2" s="34" t="s">
        <v>299</v>
      </c>
      <c r="B2" s="35" t="s">
        <v>14</v>
      </c>
      <c r="C2" s="17"/>
    </row>
    <row r="3">
      <c r="A3" s="34" t="s">
        <v>300</v>
      </c>
      <c r="B3" s="26" t="s">
        <v>11</v>
      </c>
      <c r="C3" s="17"/>
    </row>
    <row r="4">
      <c r="A4" s="34" t="s">
        <v>301</v>
      </c>
      <c r="B4" s="26"/>
      <c r="C4" s="17"/>
    </row>
    <row r="5">
      <c r="A5" s="34" t="s">
        <v>302</v>
      </c>
      <c r="B5" s="26" t="s">
        <v>303</v>
      </c>
      <c r="C5" s="17"/>
    </row>
    <row r="6">
      <c r="A6" s="34" t="s">
        <v>304</v>
      </c>
      <c r="B6" s="26" t="s">
        <v>303</v>
      </c>
      <c r="C6" s="17"/>
    </row>
    <row r="7">
      <c r="A7" s="34" t="s">
        <v>305</v>
      </c>
      <c r="B7" s="36">
        <v>44642.520374004635</v>
      </c>
      <c r="C7" s="37"/>
    </row>
  </sheetData>
  <mergeCells count="2">
    <mergeCell ref="A1:B1"/>
    <mergeCell ref="B7:C7"/>
  </mergeCells>
  <pageMargins left="0.69999999999999996" right="0.69999999999999996" top="0.75" bottom="0.75" header="0.29999999999999999" footer="0.29999999999999999"/>
  <pageSetup orientation="portrait" scale="100" paperSize="9" fitToWidth="0" fitToHeight="0" horizontalDpi="0" verticalDpi="0" copies="1"/>
</worksheet>
</file>

<file path=xl/worksheets/sheet9.xml><?xml version="1.0" encoding="utf-8"?>
<worksheet xmlns="http://schemas.openxmlformats.org/spreadsheetml/2006/main" xmlns:r="http://schemas.openxmlformats.org/officeDocument/2006/relationships" xmlns:x14="http://schemas.microsoft.com/office/spreadsheetml/2009/9/main">
  <sheetPr codeName="Sheet8"/>
  <dimension ref="A1:XFD40"/>
  <sheetViews>
    <sheetView workbookViewId="0" topLeftCell="A1" zoomScaleNormal="100" zoomScaleSheetLayoutView="60" zoomScale="100" view="normal">
      <selection activeCell="J10" sqref="J10"/>
    </sheetView>
  </sheetViews>
  <sheetFormatPr defaultRowHeight="15"/>
  <cols>
    <col min="1" max="1" width="35.71094" customWidth="1" style="17"/>
    <col min="2" max="2" width="50.71094" customWidth="1" style="17"/>
    <col min="3" max="6" width="10.71094" customWidth="1" style="17"/>
    <col min="7" max="7" width="15.71094" customWidth="1" style="17"/>
    <col min="8" max="16384" width="9.140625" customWidth="1" style="17"/>
  </cols>
  <sheetData>
    <row r="1" ht="21">
      <c r="A1" s="67" t="s">
        <v>327</v>
      </c>
      <c r="B1" s="67"/>
    </row>
    <row r="2">
      <c r="A2" s="34" t="s">
        <v>299</v>
      </c>
      <c r="B2" s="35" t="s">
        <v>14</v>
      </c>
    </row>
    <row r="3">
      <c r="A3" s="34" t="s">
        <v>300</v>
      </c>
      <c r="B3" s="26" t="s">
        <v>11</v>
      </c>
      <c r="E3" s="34" t="s">
        <v>328</v>
      </c>
      <c r="F3" s="76">
        <v>0.10000000000000001</v>
      </c>
    </row>
    <row r="4">
      <c r="A4" s="34" t="s">
        <v>301</v>
      </c>
      <c r="B4" s="26"/>
      <c r="E4" s="34" t="s">
        <v>329</v>
      </c>
      <c r="F4" s="76">
        <v>0.080000000000000002</v>
      </c>
    </row>
    <row r="5">
      <c r="A5" s="34" t="s">
        <v>302</v>
      </c>
      <c r="B5" s="26" t="s">
        <v>303</v>
      </c>
      <c r="E5" s="34" t="s">
        <v>330</v>
      </c>
      <c r="F5" s="76">
        <v>0.050000000000000003</v>
      </c>
    </row>
    <row r="6">
      <c r="A6" s="34" t="s">
        <v>304</v>
      </c>
      <c r="B6" s="26" t="s">
        <v>303</v>
      </c>
      <c r="E6" s="34" t="s">
        <v>331</v>
      </c>
      <c r="F6" s="76">
        <v>0.050000000000000003</v>
      </c>
    </row>
    <row r="7">
      <c r="A7" s="34" t="s">
        <v>305</v>
      </c>
      <c r="B7" s="36">
        <v>44642.520374004635</v>
      </c>
      <c r="C7" s="77"/>
      <c r="D7" s="77"/>
      <c r="E7" s="34" t="s">
        <v>332</v>
      </c>
      <c r="F7" s="76">
        <v>0.080000000000000002</v>
      </c>
    </row>
    <row r="8">
      <c r="B8" s="26"/>
      <c r="E8" s="34" t="s">
        <v>333</v>
      </c>
      <c r="F8" s="76">
        <v>0.10000000000000001</v>
      </c>
    </row>
    <row r="9">
      <c r="E9" s="78" t="s">
        <v>334</v>
      </c>
      <c r="F9" s="76">
        <v>0.050000000000000003</v>
      </c>
    </row>
    <row r="10">
      <c r="E10" s="34" t="s">
        <v>335</v>
      </c>
      <c r="F10" s="76">
        <v>0.10000000000000001</v>
      </c>
    </row>
    <row r="11">
      <c r="E11" s="34" t="s">
        <v>336</v>
      </c>
      <c r="F11" s="76">
        <v>0.050000000000000003</v>
      </c>
    </row>
    <row r="12" ht="18.75" customFormat="true" s="79">
      <c r="A12" s="80" t="s">
        <v>314</v>
      </c>
    </row>
    <row r="13">
      <c r="A13" s="11" t="s">
        <v>307</v>
      </c>
      <c r="B13" s="11" t="s">
        <v>308</v>
      </c>
      <c r="C13" s="11" t="s">
        <v>219</v>
      </c>
      <c r="D13" s="11"/>
      <c r="E13" s="11" t="s">
        <v>7</v>
      </c>
      <c r="F13" s="11" t="s">
        <v>337</v>
      </c>
      <c r="G13" s="11" t="s">
        <v>338</v>
      </c>
    </row>
    <row r="14">
      <c r="A14" s="59" t="s">
        <v>22</v>
      </c>
      <c r="B14" s="59" t="s">
        <v>24</v>
      </c>
      <c r="C14" s="81" t="s">
        <v>339</v>
      </c>
      <c r="D14" s="82"/>
      <c r="E14" s="81">
        <v>18</v>
      </c>
      <c r="F14" s="60">
        <v>7.0809999999999995</v>
      </c>
      <c r="G14" s="60">
        <f ca="1">F14 * (1 + $F$5)</f>
        <v>7.4350500000000004</v>
      </c>
    </row>
    <row r="15">
      <c r="A15" s="59" t="s">
        <v>51</v>
      </c>
      <c r="B15" s="59" t="s">
        <v>53</v>
      </c>
      <c r="C15" s="81" t="s">
        <v>339</v>
      </c>
      <c r="D15" s="82"/>
      <c r="E15" s="81">
        <v>3</v>
      </c>
      <c r="F15" s="60">
        <v>1.585</v>
      </c>
      <c r="G15" s="60">
        <f ca="1">F15 * (1 + $F$5)</f>
        <v>1.66425</v>
      </c>
    </row>
    <row r="16">
      <c r="A16" s="59" t="s">
        <v>22</v>
      </c>
      <c r="B16" s="59" t="s">
        <v>24</v>
      </c>
      <c r="C16" s="81" t="s">
        <v>339</v>
      </c>
      <c r="D16" s="82"/>
      <c r="E16" s="81">
        <v>25</v>
      </c>
      <c r="F16" s="60">
        <v>0.69699999999999995</v>
      </c>
      <c r="G16" s="60">
        <f ca="1">F16 * (1 + $F$5)</f>
        <v>0.73185</v>
      </c>
    </row>
    <row r="17">
      <c r="A17" s="59" t="s">
        <v>51</v>
      </c>
      <c r="B17" s="59" t="s">
        <v>53</v>
      </c>
      <c r="C17" s="81" t="s">
        <v>339</v>
      </c>
      <c r="D17" s="82"/>
      <c r="E17" s="81">
        <v>4</v>
      </c>
      <c r="F17" s="60">
        <v>2.012</v>
      </c>
      <c r="G17" s="60">
        <f ca="1">F17 * (1 + $F$5)</f>
        <v>2.1126</v>
      </c>
    </row>
    <row r="18">
      <c r="E18" s="83"/>
      <c r="F18" s="84" t="s">
        <v>340</v>
      </c>
      <c r="G18" s="85">
        <f ca="1">SUM(G14:G17)</f>
        <v>11.94375</v>
      </c>
    </row>
    <row r="19" ht="18.75" customHeight="true" customFormat="true" s="79">
      <c r="A19" s="80" t="s">
        <v>341</v>
      </c>
    </row>
    <row r="20" ht="15" customHeight="true">
      <c r="A20" s="11" t="s">
        <v>307</v>
      </c>
      <c r="B20" s="11" t="s">
        <v>308</v>
      </c>
      <c r="C20" s="11" t="s">
        <v>219</v>
      </c>
      <c r="D20" s="11" t="s">
        <v>6</v>
      </c>
      <c r="E20" s="11" t="s">
        <v>7</v>
      </c>
      <c r="F20" s="11" t="s">
        <v>337</v>
      </c>
      <c r="G20" s="11" t="s">
        <v>338</v>
      </c>
    </row>
    <row r="21" ht="15" customHeight="true">
      <c r="A21" s="59" t="s">
        <v>27</v>
      </c>
      <c r="B21" s="59" t="s">
        <v>29</v>
      </c>
      <c r="C21" s="81" t="s">
        <v>5</v>
      </c>
      <c r="D21" s="81">
        <v>22</v>
      </c>
      <c r="E21" s="81">
        <v>0.45000000000000001</v>
      </c>
      <c r="F21" s="60">
        <v>34.933</v>
      </c>
      <c r="G21" s="60">
        <f ca="1">F21 * (1 + $F$9)</f>
        <v>36.679650000000002</v>
      </c>
    </row>
    <row r="22" ht="15" customHeight="true">
      <c r="A22" s="59" t="s">
        <v>27</v>
      </c>
      <c r="B22" s="59" t="s">
        <v>29</v>
      </c>
      <c r="C22" s="81" t="s">
        <v>5</v>
      </c>
      <c r="D22" s="81">
        <v>28</v>
      </c>
      <c r="E22" s="81">
        <v>2</v>
      </c>
      <c r="F22" s="60">
        <v>2.4220000000000002</v>
      </c>
      <c r="G22" s="60">
        <f ca="1">F22 * (1 + $F$9)</f>
        <v>2.5430999999999999</v>
      </c>
    </row>
    <row r="23" ht="15" customHeight="true">
      <c r="A23" s="59" t="s">
        <v>27</v>
      </c>
      <c r="B23" s="59" t="s">
        <v>29</v>
      </c>
      <c r="C23" s="81" t="s">
        <v>5</v>
      </c>
      <c r="D23" s="81">
        <v>22</v>
      </c>
      <c r="E23" s="81">
        <v>2</v>
      </c>
      <c r="F23" s="60">
        <v>11.213999999999999</v>
      </c>
      <c r="G23" s="60">
        <f ca="1">F23 * (1 + $F$9)</f>
        <v>11.774699999999999</v>
      </c>
    </row>
    <row r="24" ht="15" customHeight="true">
      <c r="F24" s="84" t="s">
        <v>340</v>
      </c>
      <c r="G24" s="85">
        <f ca="1">SUM(G21:G23)</f>
        <v>50.997450000000001</v>
      </c>
    </row>
    <row r="25" ht="18.75">
      <c r="A25" s="57" t="s">
        <v>342</v>
      </c>
    </row>
    <row r="26">
      <c r="A26" s="11" t="s">
        <v>307</v>
      </c>
      <c r="B26" s="86" t="s">
        <v>308</v>
      </c>
      <c r="C26" s="87"/>
      <c r="D26" s="87"/>
      <c r="E26" s="88"/>
      <c r="F26" s="11" t="s">
        <v>337</v>
      </c>
    </row>
    <row r="27">
      <c r="A27" s="59" t="s">
        <v>56</v>
      </c>
      <c r="B27" s="64" t="s">
        <v>54</v>
      </c>
      <c r="C27" s="65"/>
      <c r="D27" s="65"/>
      <c r="E27" s="66"/>
      <c r="F27" s="60">
        <v>4</v>
      </c>
      <c r="G27" s="17"/>
    </row>
    <row r="28">
      <c r="A28" s="59" t="s">
        <v>56</v>
      </c>
      <c r="B28" s="64" t="s">
        <v>57</v>
      </c>
      <c r="C28" s="65"/>
      <c r="D28" s="65"/>
      <c r="E28" s="66"/>
      <c r="F28" s="60">
        <v>4</v>
      </c>
      <c r="G28" s="17"/>
    </row>
    <row r="29">
      <c r="A29" s="59" t="s">
        <v>59</v>
      </c>
      <c r="B29" s="64" t="s">
        <v>58</v>
      </c>
      <c r="C29" s="65"/>
      <c r="D29" s="65"/>
      <c r="E29" s="66"/>
      <c r="F29" s="60">
        <v>32</v>
      </c>
      <c r="G29" s="17"/>
    </row>
    <row r="30">
      <c r="A30" s="59" t="s">
        <v>61</v>
      </c>
      <c r="B30" s="64" t="s">
        <v>60</v>
      </c>
      <c r="C30" s="65"/>
      <c r="D30" s="65"/>
      <c r="E30" s="66"/>
      <c r="F30" s="60">
        <v>32</v>
      </c>
      <c r="G30" s="17"/>
    </row>
    <row r="31">
      <c r="A31" s="59" t="s">
        <v>200</v>
      </c>
      <c r="B31" s="64" t="s">
        <v>199</v>
      </c>
      <c r="C31" s="65"/>
      <c r="D31" s="65"/>
      <c r="E31" s="66"/>
      <c r="F31" s="60">
        <v>44</v>
      </c>
      <c r="G31" s="17"/>
    </row>
    <row r="32">
      <c r="A32" s="59" t="s">
        <v>202</v>
      </c>
      <c r="B32" s="64" t="s">
        <v>201</v>
      </c>
      <c r="C32" s="65"/>
      <c r="D32" s="65"/>
      <c r="E32" s="66"/>
      <c r="F32" s="60">
        <v>44</v>
      </c>
      <c r="G32" s="17"/>
    </row>
    <row r="33">
      <c r="A33" s="59" t="s">
        <v>204</v>
      </c>
      <c r="B33" s="64" t="s">
        <v>203</v>
      </c>
      <c r="C33" s="65"/>
      <c r="D33" s="65"/>
      <c r="E33" s="66"/>
      <c r="F33" s="60">
        <v>58</v>
      </c>
      <c r="G33" s="17"/>
    </row>
    <row r="34">
      <c r="A34" s="59" t="s">
        <v>206</v>
      </c>
      <c r="B34" s="64" t="s">
        <v>205</v>
      </c>
      <c r="C34" s="65"/>
      <c r="D34" s="65"/>
      <c r="E34" s="66"/>
      <c r="F34" s="60">
        <v>44</v>
      </c>
      <c r="G34" s="17"/>
    </row>
    <row r="35">
      <c r="A35" s="59" t="s">
        <v>208</v>
      </c>
      <c r="B35" s="64" t="s">
        <v>207</v>
      </c>
      <c r="C35" s="65"/>
      <c r="D35" s="65"/>
      <c r="E35" s="66"/>
      <c r="F35" s="60">
        <v>16</v>
      </c>
      <c r="G35" s="17"/>
    </row>
    <row r="36">
      <c r="A36" s="59" t="s">
        <v>210</v>
      </c>
      <c r="B36" s="64" t="s">
        <v>209</v>
      </c>
      <c r="C36" s="65"/>
      <c r="D36" s="65"/>
      <c r="E36" s="66"/>
      <c r="F36" s="60">
        <v>32</v>
      </c>
      <c r="G36" s="17"/>
    </row>
    <row r="37">
      <c r="A37" s="59" t="s">
        <v>212</v>
      </c>
      <c r="B37" s="64" t="s">
        <v>211</v>
      </c>
      <c r="C37" s="65"/>
      <c r="D37" s="65"/>
      <c r="E37" s="66"/>
      <c r="F37" s="60">
        <v>2</v>
      </c>
      <c r="G37" s="17"/>
    </row>
    <row r="38">
      <c r="A38" s="59" t="s">
        <v>213</v>
      </c>
      <c r="B38" s="64" t="s">
        <v>58</v>
      </c>
      <c r="C38" s="65"/>
      <c r="D38" s="65"/>
      <c r="E38" s="66"/>
      <c r="F38" s="60">
        <v>8</v>
      </c>
      <c r="G38" s="17"/>
    </row>
    <row r="39">
      <c r="A39" s="59" t="s">
        <v>215</v>
      </c>
      <c r="B39" s="64" t="s">
        <v>214</v>
      </c>
      <c r="C39" s="65"/>
      <c r="D39" s="65"/>
      <c r="E39" s="66"/>
      <c r="F39" s="60">
        <v>2</v>
      </c>
      <c r="G39" s="17"/>
    </row>
    <row r="40">
      <c r="F40" s="89">
        <f ca="1">SUM(F27:F39)</f>
        <v>322</v>
      </c>
    </row>
  </sheetData>
  <mergeCells count="14">
    <mergeCell ref="B26:E26"/>
    <mergeCell ref="B27:E27"/>
    <mergeCell ref="B28:E28"/>
    <mergeCell ref="B29:E29"/>
    <mergeCell ref="B30:E30"/>
    <mergeCell ref="B31:E31"/>
    <mergeCell ref="B32:E32"/>
    <mergeCell ref="B33:E33"/>
    <mergeCell ref="B34:E34"/>
    <mergeCell ref="B35:E35"/>
    <mergeCell ref="B36:E36"/>
    <mergeCell ref="B37:E37"/>
    <mergeCell ref="B38:E38"/>
    <mergeCell ref="B39:E39"/>
  </mergeCells>
  <pageMargins left="0.69999999999999996" right="0.69999999999999996" top="0.75" bottom="0.75" header="0.29999999999999999" footer="0.29999999999999999"/>
  <pageSetup orientation="portrait" scale="100" paperSize="9" fitToWidth="1" fitToHeight="1" horizontalDpi="600" verticalDpi="600" copies="1" r:id="rId1"/>
</worksheet>
</file>

<file path=xl/worksheets/sheet10.xml><?xml version="1.0" encoding="utf-8"?>
<worksheet xmlns="http://schemas.openxmlformats.org/spreadsheetml/2006/main" xmlns:r="http://schemas.openxmlformats.org/officeDocument/2006/relationships" xmlns:x14="http://schemas.microsoft.com/office/spreadsheetml/2009/9/main">
  <sheetPr codeName="Sheet7"/>
  <dimension ref="A1:F35"/>
  <sheetViews>
    <sheetView workbookViewId="0" topLeftCell="A1" zoomScaleNormal="100" zoomScaleSheetLayoutView="60" zoomScale="100" view="normal">
      <selection activeCell="I13" sqref="I13"/>
    </sheetView>
  </sheetViews>
  <sheetFormatPr defaultRowHeight="15"/>
  <cols>
    <col min="1" max="1" width="30.71094" customWidth="1"/>
    <col min="2" max="2" width="45.71094" customWidth="1"/>
    <col min="3" max="3" width="25.71094" customWidth="1"/>
    <col min="4" max="4" width="45.71094" customWidth="1"/>
    <col min="5" max="6" width="10.71094" customWidth="1"/>
  </cols>
  <sheetData>
    <row r="1" ht="21">
      <c r="A1" s="67" t="s">
        <v>343</v>
      </c>
      <c r="B1" s="67"/>
      <c r="D1" s="90"/>
    </row>
    <row r="2">
      <c r="A2" s="34" t="s">
        <v>299</v>
      </c>
      <c r="B2" s="35" t="s">
        <v>14</v>
      </c>
      <c r="D2" s="91"/>
    </row>
    <row r="3">
      <c r="A3" s="34" t="s">
        <v>300</v>
      </c>
      <c r="B3" s="26" t="s">
        <v>11</v>
      </c>
      <c r="D3" s="91"/>
    </row>
    <row r="4">
      <c r="A4" s="34" t="s">
        <v>301</v>
      </c>
      <c r="B4" s="26"/>
      <c r="D4" s="91"/>
    </row>
    <row r="5">
      <c r="A5" s="34" t="s">
        <v>302</v>
      </c>
      <c r="B5" s="26" t="s">
        <v>303</v>
      </c>
      <c r="D5" s="91"/>
    </row>
    <row r="6">
      <c r="A6" s="34" t="s">
        <v>304</v>
      </c>
      <c r="B6" s="26" t="s">
        <v>303</v>
      </c>
      <c r="D6" s="92"/>
    </row>
    <row r="7">
      <c r="A7" s="34" t="s">
        <v>305</v>
      </c>
      <c r="B7" s="36">
        <v>44642.520374004635</v>
      </c>
      <c r="D7" s="92"/>
    </row>
    <row r="8">
      <c r="A8" s="17"/>
      <c r="B8" s="26"/>
    </row>
    <row r="9" ht="18.75">
      <c r="A9" s="93" t="s">
        <v>314</v>
      </c>
    </row>
    <row r="10">
      <c r="A10" s="2" t="s">
        <v>344</v>
      </c>
      <c r="B10" s="2" t="s">
        <v>345</v>
      </c>
      <c r="C10" s="2" t="s">
        <v>346</v>
      </c>
      <c r="D10" s="2" t="s">
        <v>347</v>
      </c>
      <c r="E10" s="2" t="s">
        <v>7</v>
      </c>
    </row>
    <row r="11">
      <c r="A11" s="94" t="s">
        <v>22</v>
      </c>
      <c r="B11" s="94" t="s">
        <v>24</v>
      </c>
      <c r="C11" s="94" t="s">
        <v>22</v>
      </c>
      <c r="D11" s="94" t="s">
        <v>24</v>
      </c>
      <c r="E11" s="95">
        <v>18</v>
      </c>
    </row>
    <row r="12">
      <c r="A12" s="94" t="s">
        <v>51</v>
      </c>
      <c r="B12" s="94" t="s">
        <v>53</v>
      </c>
      <c r="C12" s="94" t="s">
        <v>51</v>
      </c>
      <c r="D12" s="94" t="s">
        <v>53</v>
      </c>
      <c r="E12" s="95">
        <v>3</v>
      </c>
    </row>
    <row r="13">
      <c r="A13" s="94" t="s">
        <v>22</v>
      </c>
      <c r="B13" s="94" t="s">
        <v>24</v>
      </c>
      <c r="C13" s="94" t="s">
        <v>22</v>
      </c>
      <c r="D13" s="94" t="s">
        <v>24</v>
      </c>
      <c r="E13" s="95">
        <v>25</v>
      </c>
    </row>
    <row r="14">
      <c r="A14" s="94" t="s">
        <v>51</v>
      </c>
      <c r="B14" s="94" t="s">
        <v>53</v>
      </c>
      <c r="C14" s="94" t="s">
        <v>51</v>
      </c>
      <c r="D14" s="94" t="s">
        <v>53</v>
      </c>
      <c r="E14" s="95">
        <v>4</v>
      </c>
    </row>
    <row r="15" ht="18.75">
      <c r="A15" s="93" t="s">
        <v>341</v>
      </c>
    </row>
    <row r="16">
      <c r="A16" s="2" t="s">
        <v>344</v>
      </c>
      <c r="B16" s="2" t="s">
        <v>345</v>
      </c>
      <c r="C16" s="2" t="s">
        <v>346</v>
      </c>
      <c r="D16" s="2" t="s">
        <v>347</v>
      </c>
      <c r="E16" s="2" t="s">
        <v>6</v>
      </c>
      <c r="F16" s="2" t="s">
        <v>7</v>
      </c>
    </row>
    <row r="17">
      <c r="A17" s="94" t="s">
        <v>27</v>
      </c>
      <c r="B17" s="94" t="s">
        <v>29</v>
      </c>
      <c r="C17" s="94" t="s">
        <v>27</v>
      </c>
      <c r="D17" s="94" t="s">
        <v>29</v>
      </c>
      <c r="E17" s="95">
        <v>22</v>
      </c>
      <c r="F17" s="95">
        <v>0.45000000000000001</v>
      </c>
    </row>
    <row r="18">
      <c r="A18" s="94" t="s">
        <v>27</v>
      </c>
      <c r="B18" s="94" t="s">
        <v>29</v>
      </c>
      <c r="C18" s="94" t="s">
        <v>27</v>
      </c>
      <c r="D18" s="94" t="s">
        <v>29</v>
      </c>
      <c r="E18" s="95">
        <v>28</v>
      </c>
      <c r="F18" s="95">
        <v>2</v>
      </c>
    </row>
    <row r="19">
      <c r="A19" s="94" t="s">
        <v>27</v>
      </c>
      <c r="B19" s="94" t="s">
        <v>29</v>
      </c>
      <c r="C19" s="94" t="s">
        <v>27</v>
      </c>
      <c r="D19" s="94" t="s">
        <v>29</v>
      </c>
      <c r="E19" s="95">
        <v>22</v>
      </c>
      <c r="F19" s="95">
        <v>2</v>
      </c>
    </row>
    <row r="20" ht="19.5" customHeight="true">
      <c r="A20" s="93" t="s">
        <v>342</v>
      </c>
    </row>
    <row r="21" ht="15" customHeight="true">
      <c r="A21" s="2" t="s">
        <v>344</v>
      </c>
      <c r="B21" s="2" t="s">
        <v>345</v>
      </c>
      <c r="C21" s="2" t="s">
        <v>346</v>
      </c>
      <c r="D21" s="2" t="s">
        <v>347</v>
      </c>
    </row>
    <row r="22" ht="15" customHeight="true">
      <c r="A22" s="94" t="s">
        <v>56</v>
      </c>
      <c r="B22" s="94" t="s">
        <v>54</v>
      </c>
      <c r="C22" s="94" t="s">
        <v>56</v>
      </c>
      <c r="D22" s="94" t="s">
        <v>54</v>
      </c>
    </row>
    <row r="23" ht="15" customHeight="true">
      <c r="A23" s="94" t="s">
        <v>56</v>
      </c>
      <c r="B23" s="94" t="s">
        <v>57</v>
      </c>
      <c r="C23" s="94" t="s">
        <v>56</v>
      </c>
      <c r="D23" s="94" t="s">
        <v>57</v>
      </c>
    </row>
    <row r="24" ht="15" customHeight="true">
      <c r="A24" s="94" t="s">
        <v>59</v>
      </c>
      <c r="B24" s="94" t="s">
        <v>58</v>
      </c>
      <c r="C24" s="94" t="s">
        <v>59</v>
      </c>
      <c r="D24" s="94" t="s">
        <v>58</v>
      </c>
    </row>
    <row r="25" ht="15" customHeight="true">
      <c r="A25" s="94" t="s">
        <v>61</v>
      </c>
      <c r="B25" s="94" t="s">
        <v>60</v>
      </c>
      <c r="C25" s="94" t="s">
        <v>61</v>
      </c>
      <c r="D25" s="94" t="s">
        <v>60</v>
      </c>
    </row>
    <row r="26" ht="15" customHeight="true">
      <c r="A26" s="94" t="s">
        <v>200</v>
      </c>
      <c r="B26" s="94" t="s">
        <v>199</v>
      </c>
      <c r="C26" s="94" t="s">
        <v>200</v>
      </c>
      <c r="D26" s="94" t="s">
        <v>199</v>
      </c>
    </row>
    <row r="27" ht="15" customHeight="true">
      <c r="A27" s="94" t="s">
        <v>202</v>
      </c>
      <c r="B27" s="94" t="s">
        <v>201</v>
      </c>
      <c r="C27" s="94" t="s">
        <v>202</v>
      </c>
      <c r="D27" s="94" t="s">
        <v>201</v>
      </c>
    </row>
    <row r="28" ht="15" customHeight="true">
      <c r="A28" s="94" t="s">
        <v>204</v>
      </c>
      <c r="B28" s="94" t="s">
        <v>203</v>
      </c>
      <c r="C28" s="94" t="s">
        <v>204</v>
      </c>
      <c r="D28" s="94" t="s">
        <v>203</v>
      </c>
    </row>
    <row r="29" ht="15" customHeight="true">
      <c r="A29" s="94" t="s">
        <v>206</v>
      </c>
      <c r="B29" s="94" t="s">
        <v>205</v>
      </c>
      <c r="C29" s="94" t="s">
        <v>206</v>
      </c>
      <c r="D29" s="94" t="s">
        <v>205</v>
      </c>
    </row>
    <row r="30" ht="15" customHeight="true">
      <c r="A30" s="94" t="s">
        <v>208</v>
      </c>
      <c r="B30" s="94" t="s">
        <v>207</v>
      </c>
      <c r="C30" s="94" t="s">
        <v>208</v>
      </c>
      <c r="D30" s="94" t="s">
        <v>207</v>
      </c>
    </row>
    <row r="31" ht="15" customHeight="true">
      <c r="A31" s="94" t="s">
        <v>210</v>
      </c>
      <c r="B31" s="94" t="s">
        <v>209</v>
      </c>
      <c r="C31" s="94" t="s">
        <v>210</v>
      </c>
      <c r="D31" s="94" t="s">
        <v>209</v>
      </c>
    </row>
    <row r="32" ht="15" customHeight="true">
      <c r="A32" s="94" t="s">
        <v>212</v>
      </c>
      <c r="B32" s="94" t="s">
        <v>211</v>
      </c>
      <c r="C32" s="94" t="s">
        <v>212</v>
      </c>
      <c r="D32" s="94" t="s">
        <v>211</v>
      </c>
    </row>
    <row r="33" ht="15" customHeight="true">
      <c r="A33" s="94" t="s">
        <v>213</v>
      </c>
      <c r="B33" s="94" t="s">
        <v>58</v>
      </c>
      <c r="C33" s="94" t="s">
        <v>213</v>
      </c>
      <c r="D33" s="94" t="s">
        <v>58</v>
      </c>
    </row>
    <row r="34" ht="15" customHeight="true">
      <c r="A34" s="94" t="s">
        <v>215</v>
      </c>
      <c r="B34" s="94" t="s">
        <v>214</v>
      </c>
      <c r="C34" s="94" t="s">
        <v>215</v>
      </c>
      <c r="D34" s="94" t="s">
        <v>214</v>
      </c>
    </row>
    <row r="35" ht="15" customHeight="true"/>
  </sheetData>
  <mergeCells count="1">
    <mergeCell ref="A1:B1"/>
  </mergeCells>
  <pageMargins left="0.69999999999999996" right="0.69999999999999996" top="0.75" bottom="0.75" header="0.29999999999999999" footer="0.29999999999999999"/>
  <pageSetup orientation="portrait" scale="100" paperSize="9" fitToWidth="1" fitToHeight="1" horizontalDpi="600" verticalDpi="600" copies="1" r:id="rId1"/>
</worksheet>
</file>

<file path=xl/worksheets/sheet11.xml><?xml version="1.0" encoding="utf-8"?>
<worksheet xmlns="http://schemas.openxmlformats.org/spreadsheetml/2006/main" xmlns:r="http://schemas.openxmlformats.org/officeDocument/2006/relationships" xmlns:x14="http://schemas.microsoft.com/office/spreadsheetml/2009/9/main">
  <sheetPr codeName="Sheet11"/>
  <dimension ref="A1:C49"/>
  <sheetViews>
    <sheetView workbookViewId="0" topLeftCell="A1" zoomScaleNormal="100" zoomScaleSheetLayoutView="60" zoomScale="100" view="normal">
      <selection activeCell="C7" sqref="C7"/>
    </sheetView>
  </sheetViews>
  <sheetFormatPr defaultRowHeight="15"/>
  <cols>
    <col min="1" max="1" width="37.57031" customWidth="1"/>
    <col min="2" max="2" width="7" customWidth="1"/>
    <col min="3" max="3" width="132.4258" customWidth="1" style="96"/>
  </cols>
  <sheetData>
    <row r="1" ht="21">
      <c r="A1" s="97" t="s">
        <v>348</v>
      </c>
      <c r="B1" s="97">
        <v>31</v>
      </c>
    </row>
    <row r="2" ht="21">
      <c r="A2" s="98" t="s">
        <v>349</v>
      </c>
      <c r="B2" s="97"/>
    </row>
    <row r="3" ht="31.5">
      <c r="A3" s="97"/>
      <c r="B3" s="97"/>
      <c r="C3" s="96" t="s">
        <v>350</v>
      </c>
    </row>
    <row r="4" ht="21">
      <c r="A4" s="98" t="s">
        <v>349</v>
      </c>
      <c r="B4" s="97"/>
    </row>
    <row r="5" ht="91.5">
      <c r="A5" s="97"/>
      <c r="B5" s="97"/>
      <c r="C5" s="96" t="s">
        <v>351</v>
      </c>
    </row>
    <row r="6" ht="21">
      <c r="A6" s="98" t="s">
        <v>352</v>
      </c>
      <c r="B6" s="97"/>
    </row>
    <row r="7" ht="21">
      <c r="A7" s="98"/>
      <c r="B7" s="97"/>
      <c r="C7" s="96" t="s">
        <v>353</v>
      </c>
    </row>
    <row r="8" ht="46.5">
      <c r="A8" s="97"/>
      <c r="B8" s="97"/>
      <c r="C8" s="96" t="s">
        <v>354</v>
      </c>
    </row>
    <row r="9" ht="21">
      <c r="A9" s="98" t="s">
        <v>355</v>
      </c>
      <c r="B9" s="97"/>
    </row>
    <row r="10" ht="61.5">
      <c r="A10" s="97"/>
      <c r="B10" s="97"/>
      <c r="C10" s="96" t="s">
        <v>356</v>
      </c>
    </row>
    <row r="11" ht="21">
      <c r="A11" s="98" t="s">
        <v>357</v>
      </c>
      <c r="B11" s="97"/>
    </row>
    <row r="12" ht="61.5">
      <c r="A12" s="97"/>
      <c r="B12" s="97"/>
      <c r="C12" s="96" t="s">
        <v>358</v>
      </c>
    </row>
    <row r="13" ht="21">
      <c r="A13" s="98" t="s">
        <v>359</v>
      </c>
      <c r="B13" s="97"/>
    </row>
    <row r="14" ht="31.5">
      <c r="A14" s="97"/>
      <c r="B14" s="97"/>
      <c r="C14" s="96" t="s">
        <v>360</v>
      </c>
    </row>
    <row r="15" ht="21">
      <c r="A15" s="98" t="s">
        <v>361</v>
      </c>
      <c r="B15" s="97"/>
    </row>
    <row r="16" ht="21">
      <c r="A16" s="97"/>
      <c r="B16" s="97"/>
      <c r="C16" s="96" t="s">
        <v>362</v>
      </c>
    </row>
    <row r="17" ht="21">
      <c r="A17" s="97"/>
      <c r="B17" s="97"/>
    </row>
    <row r="18" ht="21">
      <c r="A18" s="98" t="s">
        <v>363</v>
      </c>
      <c r="B18" s="97"/>
    </row>
    <row r="19" ht="31.5">
      <c r="A19" s="98"/>
      <c r="B19" s="97"/>
      <c r="C19" s="96" t="s">
        <v>364</v>
      </c>
    </row>
    <row r="20" ht="21">
      <c r="A20" s="97"/>
      <c r="B20" s="97"/>
    </row>
    <row r="21">
      <c r="A21" s="98" t="s">
        <v>365</v>
      </c>
    </row>
    <row r="22" ht="45">
      <c r="B22" t="s">
        <v>366</v>
      </c>
      <c r="C22" s="96" t="s">
        <v>367</v>
      </c>
    </row>
    <row r="24">
      <c r="A24" s="98" t="s">
        <v>368</v>
      </c>
    </row>
    <row r="25" ht="45">
      <c r="B25" t="s">
        <v>366</v>
      </c>
      <c r="C25" s="96" t="s">
        <v>369</v>
      </c>
    </row>
    <row r="26">
      <c r="B26" t="s">
        <v>370</v>
      </c>
      <c r="C26" s="96" t="s">
        <v>371</v>
      </c>
    </row>
    <row r="27">
      <c r="A27" s="98" t="s">
        <v>372</v>
      </c>
    </row>
    <row r="28" ht="30">
      <c r="C28" s="96" t="s">
        <v>373</v>
      </c>
    </row>
    <row r="29">
      <c r="A29" s="98" t="s">
        <v>374</v>
      </c>
    </row>
    <row r="30">
      <c r="C30" s="96" t="s">
        <v>375</v>
      </c>
    </row>
    <row r="31">
      <c r="A31" s="98" t="s">
        <v>376</v>
      </c>
    </row>
    <row r="32">
      <c r="C32" s="96" t="s">
        <v>377</v>
      </c>
    </row>
    <row r="33">
      <c r="A33" s="98" t="s">
        <v>378</v>
      </c>
    </row>
    <row r="34">
      <c r="C34" s="96" t="s">
        <v>379</v>
      </c>
    </row>
    <row r="35">
      <c r="A35" s="98" t="s">
        <v>380</v>
      </c>
    </row>
    <row r="36">
      <c r="A36" s="98"/>
    </row>
    <row r="37">
      <c r="A37" t="s">
        <v>381</v>
      </c>
    </row>
    <row r="38" ht="60">
      <c r="B38" t="s">
        <v>366</v>
      </c>
      <c r="C38" s="96" t="s">
        <v>382</v>
      </c>
    </row>
    <row r="39">
      <c r="A39" s="98" t="s">
        <v>383</v>
      </c>
    </row>
    <row r="41">
      <c r="A41" t="s">
        <v>381</v>
      </c>
    </row>
    <row r="42">
      <c r="B42" t="s">
        <v>366</v>
      </c>
      <c r="C42" s="96" t="s">
        <v>384</v>
      </c>
    </row>
    <row r="43">
      <c r="B43" t="s">
        <v>370</v>
      </c>
      <c r="C43" s="96" t="s">
        <v>385</v>
      </c>
    </row>
    <row r="44" ht="30">
      <c r="B44" t="s">
        <v>386</v>
      </c>
      <c r="C44" s="96" t="s">
        <v>387</v>
      </c>
    </row>
    <row r="45">
      <c r="A45" t="s">
        <v>388</v>
      </c>
    </row>
    <row r="46">
      <c r="B46" t="s">
        <v>366</v>
      </c>
      <c r="C46" s="96" t="s">
        <v>389</v>
      </c>
    </row>
    <row r="47">
      <c r="B47" t="s">
        <v>370</v>
      </c>
      <c r="C47" s="96" t="s">
        <v>390</v>
      </c>
    </row>
    <row r="49">
      <c r="A49" t="s">
        <v>391</v>
      </c>
      <c r="C49" s="96" t="s">
        <v>392</v>
      </c>
    </row>
  </sheetData>
  <pageMargins left="0.69999999999999996" right="0.69999999999999996" top="0.75" bottom="0.75" header="0.29999999999999999" footer="0.29999999999999999"/>
  <pageSetup orientation="portrait" scale="100" paperSize="1" fitToWidth="1" fitToHeight="1" horizontalDpi="300" verticalDpi="300" copies="1" r:id="rId1"/>
</worksheet>
</file>

<file path=docProps/app.xml><?xml version="1.0" encoding="utf-8"?>
<Properties xmlns="http://schemas.openxmlformats.org/officeDocument/2006/extended-properties" xmlns:vt="http://schemas.openxmlformats.org/officeDocument/2006/docPropsVTypes" xmlns:ap="http://schemas.openxmlformats.org/officeDocument/2006/extended-properties">
  <Application>Microsoft Excel</Application>
  <Company/>
  <DocSecurity>0</DocSecurity>
  <ScaleCrop>false</ScaleCrop>
  <HeadingPairs>
    <vt:vector size="2" baseType="variant">
      <vt:variant>
        <vt:lpstr>Worksheets</vt:lpstr>
      </vt:variant>
      <vt:variant>
        <vt:i4>11</vt:i4>
      </vt:variant>
    </vt:vector>
  </HeadingPairs>
  <TitlesOfParts>
    <vt:vector size="11" baseType="lpstr">
      <vt:lpstr>Item List</vt:lpstr>
      <vt:lpstr>Structure relations</vt:lpstr>
      <vt:lpstr>CutRite Items</vt:lpstr>
      <vt:lpstr>Product Structure</vt:lpstr>
      <vt:lpstr>Complete Part List</vt:lpstr>
      <vt:lpstr>Cutting Part List</vt:lpstr>
      <vt:lpstr>Composite Part List</vt:lpstr>
      <vt:lpstr>Multilayer Part List</vt:lpstr>
      <vt:lpstr>Materials Summary</vt:lpstr>
      <vt:lpstr>Replacament Configuration</vt:lpstr>
      <vt:lpstr>Version Story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Saulius Dereskevicius</dc:creator>
  <dc:description>Pridėta papildomi trys stulpeliai su galutiniais detalės matmenimis</dc:description>
  <cp:lastModifiedBy>Saulius Dereskevicius</cp:lastModifiedBy>
  <dcterms:created xsi:type="dcterms:W3CDTF">2018-08-28T12:06:59Z</dcterms:created>
  <dcterms:modified xsi:type="dcterms:W3CDTF">2022-03-22T09:31:25Z</dcterms:modified>
</cp:coreProperties>
</file>